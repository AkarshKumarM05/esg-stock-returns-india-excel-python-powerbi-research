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Summary" sheetId="2" state="visible" r:id="rId4"/>
    <sheet name="Sector_Analysis" sheetId="3" state="visible" r:id="rId5"/>
    <sheet name="Correl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<sst xmlns="http://schemas.openxmlformats.org/spreadsheetml/2006/main" count="674" uniqueCount="379">
  <si>
    <t xml:space="preserve">Rank</t>
  </si>
  <si>
    <t xml:space="preserve">Company</t>
  </si>
  <si>
    <t xml:space="preserve">NSE_Symbol</t>
  </si>
  <si>
    <t xml:space="preserve">Industry</t>
  </si>
  <si>
    <t xml:space="preserve">ESG_Grade</t>
  </si>
  <si>
    <t xml:space="preserve">ESG_Score_Numeric</t>
  </si>
  <si>
    <t xml:space="preserve">Market_Cap_Cr</t>
  </si>
  <si>
    <t xml:space="preserve">ROE_3Y_%</t>
  </si>
  <si>
    <t xml:space="preserve">PE_Ratio</t>
  </si>
  <si>
    <t xml:space="preserve">Promoter_Holding_%</t>
  </si>
  <si>
    <t xml:space="preserve">FII_Holding_%</t>
  </si>
  <si>
    <t xml:space="preserve">Stock_CAGR_1Y_%</t>
  </si>
  <si>
    <t xml:space="preserve">Stock_CAGR_3Y_%</t>
  </si>
  <si>
    <t xml:space="preserve">Stock_CAGR_5Y_%</t>
  </si>
  <si>
    <t xml:space="preserve">Stock_CAGR_10Y_%</t>
  </si>
  <si>
    <t xml:space="preserve">Data_Status</t>
  </si>
  <si>
    <t xml:space="preserve">Screener_URL</t>
  </si>
  <si>
    <t xml:space="preserve">ESG_Group</t>
  </si>
  <si>
    <t xml:space="preserve">Median ESG Score (cutoff)</t>
  </si>
  <si>
    <t xml:space="preserve">Cipla Ltd.</t>
  </si>
  <si>
    <t xml:space="preserve">CIPLA</t>
  </si>
  <si>
    <t xml:space="preserve">Pharma</t>
  </si>
  <si>
    <t xml:space="preserve">A+</t>
  </si>
  <si>
    <t xml:space="preserve">VERIFIED REAL DATA from screener.in</t>
  </si>
  <si>
    <t xml:space="preserve">https://www.screener.in/company/CIPLA/consolidated/</t>
  </si>
  <si>
    <t xml:space="preserve">Wipro Ltd.</t>
  </si>
  <si>
    <t xml:space="preserve">WIPRO</t>
  </si>
  <si>
    <t xml:space="preserve">IT</t>
  </si>
  <si>
    <t xml:space="preserve">https://www.screener.in/company/WIPRO/consolidated/</t>
  </si>
  <si>
    <t xml:space="preserve">Hindustan Unilever Ltd.</t>
  </si>
  <si>
    <t xml:space="preserve">HINDUNILVR</t>
  </si>
  <si>
    <t xml:space="preserve">Consumer Goods</t>
  </si>
  <si>
    <t xml:space="preserve">https://www.screener.in/company/HINDUNILVR/consolidated/</t>
  </si>
  <si>
    <t xml:space="preserve">Infosys Ltd.</t>
  </si>
  <si>
    <t xml:space="preserve">INFY</t>
  </si>
  <si>
    <t xml:space="preserve">https://www.screener.in/company/INFY/consolidated/</t>
  </si>
  <si>
    <t xml:space="preserve">Tata Consultancy Services Ltd.</t>
  </si>
  <si>
    <t xml:space="preserve">TCS</t>
  </si>
  <si>
    <t xml:space="preserve">https://www.screener.in/company/TCS/consolidated/</t>
  </si>
  <si>
    <t xml:space="preserve">Mahindra &amp; Mahindra Ltd.</t>
  </si>
  <si>
    <t xml:space="preserve">M&amp;M</t>
  </si>
  <si>
    <t xml:space="preserve">Automobile</t>
  </si>
  <si>
    <t xml:space="preserve">https://www.screener.in/company/M&amp;M/consolidated/</t>
  </si>
  <si>
    <t xml:space="preserve">Tech Mahindra Ltd.</t>
  </si>
  <si>
    <t xml:space="preserve">TECHM</t>
  </si>
  <si>
    <t xml:space="preserve">https://www.screener.in/company/TECHM/consolidated/</t>
  </si>
  <si>
    <t xml:space="preserve">HCL Technologies Ltd.</t>
  </si>
  <si>
    <t xml:space="preserve">HCLTECH</t>
  </si>
  <si>
    <t xml:space="preserve">A</t>
  </si>
  <si>
    <t xml:space="preserve">https://www.screener.in/company/HCLTECH/consolidated/</t>
  </si>
  <si>
    <t xml:space="preserve">ITC Ltd.</t>
  </si>
  <si>
    <t xml:space="preserve">ITC</t>
  </si>
  <si>
    <t xml:space="preserve">https://www.screener.in/company/ITC/consolidated/</t>
  </si>
  <si>
    <t xml:space="preserve">Tata Steel Ltd.</t>
  </si>
  <si>
    <t xml:space="preserve">TATASTEEL</t>
  </si>
  <si>
    <t xml:space="preserve">Metals &amp; Mining</t>
  </si>
  <si>
    <t xml:space="preserve">https://www.screener.in/company/TATASTEEL/consolidated/</t>
  </si>
  <si>
    <t xml:space="preserve">Larsen &amp; Toubro Infotech Ltd.</t>
  </si>
  <si>
    <t xml:space="preserve">LTI</t>
  </si>
  <si>
    <t xml:space="preserve">https://www.screener.in/company/LTIM/consolidated/</t>
  </si>
  <si>
    <t xml:space="preserve">Tata Consumer Products Ltd</t>
  </si>
  <si>
    <t xml:space="preserve">TATACONSUM</t>
  </si>
  <si>
    <t xml:space="preserve">https://www.screener.in/company/TATACONSUM/consolidated/</t>
  </si>
  <si>
    <t xml:space="preserve">Tata Motors Ltd.</t>
  </si>
  <si>
    <t xml:space="preserve">TATAMOTORS</t>
  </si>
  <si>
    <t xml:space="preserve">https://www.screener.in/company/TMPV/consolidated/</t>
  </si>
  <si>
    <t xml:space="preserve">Godrej Consumer Products Ltd.</t>
  </si>
  <si>
    <t xml:space="preserve">GODREJCP</t>
  </si>
  <si>
    <t xml:space="preserve">https://www.screener.in/company/GODREJCP/consolidated/</t>
  </si>
  <si>
    <t xml:space="preserve">Siemens Ltd.</t>
  </si>
  <si>
    <t xml:space="preserve">SIEMENS</t>
  </si>
  <si>
    <t xml:space="preserve">Industrial Manufacturing</t>
  </si>
  <si>
    <t xml:space="preserve">https://www.screener.in/company/SIEMENS/consolidated/</t>
  </si>
  <si>
    <t xml:space="preserve">Marico Ltd.</t>
  </si>
  <si>
    <t xml:space="preserve">MARICO</t>
  </si>
  <si>
    <t xml:space="preserve">https://www.screener.in/company/MARICO/consolidated/</t>
  </si>
  <si>
    <t xml:space="preserve">Larsen &amp; Toubro Ltd.</t>
  </si>
  <si>
    <t xml:space="preserve">LT</t>
  </si>
  <si>
    <t xml:space="preserve">Construction</t>
  </si>
  <si>
    <t xml:space="preserve">B+</t>
  </si>
  <si>
    <t xml:space="preserve">https://www.screener.in/company/LT/consolidated/</t>
  </si>
  <si>
    <t xml:space="preserve">Nestle India Ltd.</t>
  </si>
  <si>
    <t xml:space="preserve">NESTLEIND</t>
  </si>
  <si>
    <t xml:space="preserve">https://www.screener.in/company/NESTLEIND/consolidated/</t>
  </si>
  <si>
    <t xml:space="preserve">Honeywell Automation India Ltd</t>
  </si>
  <si>
    <t xml:space="preserve">HONAUT</t>
  </si>
  <si>
    <t xml:space="preserve">https://www.screener.in/company/HONAUT/consolidated/</t>
  </si>
  <si>
    <t xml:space="preserve">HDFC Bank Ltd.</t>
  </si>
  <si>
    <t xml:space="preserve">HDFCBANK</t>
  </si>
  <si>
    <t xml:space="preserve">Banks</t>
  </si>
  <si>
    <t xml:space="preserve">https://www.screener.in/company/HDFCBANK/consolidated/</t>
  </si>
  <si>
    <t xml:space="preserve">Housing Development Finance Corporation Ltd.</t>
  </si>
  <si>
    <t xml:space="preserve">HDFC</t>
  </si>
  <si>
    <t xml:space="preserve">Finance: Non-Banking</t>
  </si>
  <si>
    <t xml:space="preserve">https://www.screener.in/company/HDFC/consolidated/</t>
  </si>
  <si>
    <t xml:space="preserve">Asian Paints Ltd.</t>
  </si>
  <si>
    <t xml:space="preserve">ASIANPAINT</t>
  </si>
  <si>
    <t xml:space="preserve">https://www.screener.in/company/ASIANPAINT/consolidated/</t>
  </si>
  <si>
    <t xml:space="preserve">Dr. Reddy's Laboratories Ltd.</t>
  </si>
  <si>
    <t xml:space="preserve">DRREDDY</t>
  </si>
  <si>
    <t xml:space="preserve">https://www.screener.in/company/DRREDDY/consolidated/</t>
  </si>
  <si>
    <t xml:space="preserve">Dabur India Ltd.</t>
  </si>
  <si>
    <t xml:space="preserve">DABUR</t>
  </si>
  <si>
    <t xml:space="preserve">https://www.screener.in/company/DABUR/consolidated/</t>
  </si>
  <si>
    <t xml:space="preserve">ICICI Bank Ltd.</t>
  </si>
  <si>
    <t xml:space="preserve">ICICIBANK</t>
  </si>
  <si>
    <t xml:space="preserve">https://www.screener.in/company/ICICIBANK/consolidated/</t>
  </si>
  <si>
    <t xml:space="preserve">Hindustan Zinc Ltd.</t>
  </si>
  <si>
    <t xml:space="preserve">HZL</t>
  </si>
  <si>
    <t xml:space="preserve">https://www.screener.in/company/HINDZINC/consolidated/</t>
  </si>
  <si>
    <t xml:space="preserve">ABB India Ltd</t>
  </si>
  <si>
    <t xml:space="preserve">ABB</t>
  </si>
  <si>
    <t xml:space="preserve">https://www.screener.in/company/ABB/consolidated/</t>
  </si>
  <si>
    <t xml:space="preserve">Colgate Palmolive (India) Ltd.</t>
  </si>
  <si>
    <t xml:space="preserve">COLPAL</t>
  </si>
  <si>
    <t xml:space="preserve">https://www.screener.in/company/COLPAL/consolidated/</t>
  </si>
  <si>
    <t xml:space="preserve">JSW Steel Ltd.</t>
  </si>
  <si>
    <t xml:space="preserve">JSWSTEEL</t>
  </si>
  <si>
    <t xml:space="preserve">https://www.screener.in/company/JSWSTEEL/consolidated/</t>
  </si>
  <si>
    <t xml:space="preserve">Grasim Industries Ltd.</t>
  </si>
  <si>
    <t xml:space="preserve">GRASIM</t>
  </si>
  <si>
    <t xml:space="preserve">Cement</t>
  </si>
  <si>
    <t xml:space="preserve">https://www.screener.in/company/GRASIM/consolidated/</t>
  </si>
  <si>
    <t xml:space="preserve">Adani Green Energy Ltd.</t>
  </si>
  <si>
    <t xml:space="preserve">ADANIGREEN</t>
  </si>
  <si>
    <t xml:space="preserve">Power</t>
  </si>
  <si>
    <t xml:space="preserve">https://www.screener.in/company/ADANIGREEN/consolidated/</t>
  </si>
  <si>
    <t xml:space="preserve">Hero MotoCorp Ltd.</t>
  </si>
  <si>
    <t xml:space="preserve">HEROMOTOCO</t>
  </si>
  <si>
    <t xml:space="preserve">https://www.screener.in/company/HEROMOTOCO/consolidated/</t>
  </si>
  <si>
    <t xml:space="preserve">Procter &amp; Gamble Hygiene &amp; Health Care Ltd.</t>
  </si>
  <si>
    <t xml:space="preserve">PGHH</t>
  </si>
  <si>
    <t xml:space="preserve">https://www.screener.in/company/PGHH/consolidated/</t>
  </si>
  <si>
    <t xml:space="preserve">Titan Company Ltd.</t>
  </si>
  <si>
    <t xml:space="preserve">TITAN</t>
  </si>
  <si>
    <t xml:space="preserve">https://www.screener.in/company/TITAN/consolidated/</t>
  </si>
  <si>
    <t xml:space="preserve">Axis Bank Ltd.</t>
  </si>
  <si>
    <t xml:space="preserve">AXISBANK</t>
  </si>
  <si>
    <t xml:space="preserve">https://www.screener.in/company/AXISBANK/consolidated/</t>
  </si>
  <si>
    <t xml:space="preserve">Bosch Ltd.</t>
  </si>
  <si>
    <t xml:space="preserve">BOSCHLTD</t>
  </si>
  <si>
    <t xml:space="preserve">https://www.screener.in/company/BOSCHLTD/consolidated/</t>
  </si>
  <si>
    <t xml:space="preserve">Kansai Nerolac Paints Ltd</t>
  </si>
  <si>
    <t xml:space="preserve">KANSAINER</t>
  </si>
  <si>
    <t xml:space="preserve">https://www.screener.in/company/KANSAINER/consolidated/</t>
  </si>
  <si>
    <t xml:space="preserve">Bharti Airtel Ltd.</t>
  </si>
  <si>
    <t xml:space="preserve">BHARTIARTL</t>
  </si>
  <si>
    <t xml:space="preserve">Telecom</t>
  </si>
  <si>
    <t xml:space="preserve">B</t>
  </si>
  <si>
    <t xml:space="preserve">https://www.screener.in/company/BHARTIARTL/consolidated/</t>
  </si>
  <si>
    <t xml:space="preserve">Kotak Mahindra Bank Ltd.</t>
  </si>
  <si>
    <t xml:space="preserve">KOTAKBANK</t>
  </si>
  <si>
    <t xml:space="preserve">https://www.screener.in/company/KOTAKBANK/consolidated/</t>
  </si>
  <si>
    <t xml:space="preserve">Hindalco Industries Ltd.</t>
  </si>
  <si>
    <t xml:space="preserve">HINDALCO</t>
  </si>
  <si>
    <t xml:space="preserve">https://www.screener.in/company/HINDALCO/consolidated/</t>
  </si>
  <si>
    <t xml:space="preserve">HDFC Life Insurance Co. Ltd.</t>
  </si>
  <si>
    <t xml:space="preserve">HDFCLIFE</t>
  </si>
  <si>
    <t xml:space="preserve">https://www.screener.in/company/HDFCLIFE/consolidated/</t>
  </si>
  <si>
    <t xml:space="preserve">ICICI Lombard General Insurance Company Ltd.</t>
  </si>
  <si>
    <t xml:space="preserve">ICICIGI</t>
  </si>
  <si>
    <t xml:space="preserve">https://www.screener.in/company/ICICIGI/consolidated/</t>
  </si>
  <si>
    <t xml:space="preserve">Biocon Ltd.</t>
  </si>
  <si>
    <t xml:space="preserve">BIOCON</t>
  </si>
  <si>
    <t xml:space="preserve">https://www.screener.in/company/BIOCON/consolidated/</t>
  </si>
  <si>
    <t xml:space="preserve">Pfizer Ltd</t>
  </si>
  <si>
    <t xml:space="preserve">PFIZER</t>
  </si>
  <si>
    <t xml:space="preserve">https://www.screener.in/company/PFIZER/consolidated/</t>
  </si>
  <si>
    <t xml:space="preserve">UltraTech Cement Ltd.</t>
  </si>
  <si>
    <t xml:space="preserve">ULTRACEMCO</t>
  </si>
  <si>
    <t xml:space="preserve">https://www.screener.in/company/ULTRACEMCO/consolidated/</t>
  </si>
  <si>
    <t xml:space="preserve">Bajaj Auto Ltd.</t>
  </si>
  <si>
    <t xml:space="preserve">BAJAJ-AUTO</t>
  </si>
  <si>
    <t xml:space="preserve">https://www.screener.in/company/BAJAJ-AUTO/consolidated/</t>
  </si>
  <si>
    <t xml:space="preserve">Britannia Industries Ltd.</t>
  </si>
  <si>
    <t xml:space="preserve">BRITANNIA</t>
  </si>
  <si>
    <t xml:space="preserve">https://www.screener.in/company/BRITANNIA/consolidated/</t>
  </si>
  <si>
    <t xml:space="preserve">HDFC Asset Management Company Ltd.</t>
  </si>
  <si>
    <t xml:space="preserve">HDFCAMC</t>
  </si>
  <si>
    <t xml:space="preserve">https://www.screener.in/company/HDFCAMC/consolidated/</t>
  </si>
  <si>
    <t xml:space="preserve">Oracle Financial Services Software Ltd</t>
  </si>
  <si>
    <t xml:space="preserve">OFSS</t>
  </si>
  <si>
    <t xml:space="preserve">https://www.screener.in/company/OFSS/consolidated/</t>
  </si>
  <si>
    <t xml:space="preserve">IndusInd Bank Ltd.</t>
  </si>
  <si>
    <t xml:space="preserve">INDUSINDBK</t>
  </si>
  <si>
    <t xml:space="preserve">https://www.screener.in/company/INDUSINDBK/consolidated/</t>
  </si>
  <si>
    <t xml:space="preserve">Gillette India Ltd</t>
  </si>
  <si>
    <t xml:space="preserve">GILLETTE</t>
  </si>
  <si>
    <t xml:space="preserve">https://www.screener.in/company/GILLETTE/consolidated/</t>
  </si>
  <si>
    <t xml:space="preserve">Bajaj Finance Ltd.</t>
  </si>
  <si>
    <t xml:space="preserve">BAJFINANCE</t>
  </si>
  <si>
    <t xml:space="preserve">https://www.screener.in/company/BAJFINANCE/consolidated/</t>
  </si>
  <si>
    <t xml:space="preserve">Eicher Motors Ltd.</t>
  </si>
  <si>
    <t xml:space="preserve">EICHERMOT</t>
  </si>
  <si>
    <t xml:space="preserve">https://www.screener.in/company/EICHERMOT/consolidated/</t>
  </si>
  <si>
    <t xml:space="preserve">Pidilite Industries Ltd.</t>
  </si>
  <si>
    <t xml:space="preserve">PIDILITIND</t>
  </si>
  <si>
    <t xml:space="preserve">Chemicals</t>
  </si>
  <si>
    <t xml:space="preserve">https://www.screener.in/company/PIDILITIND/consolidated/</t>
  </si>
  <si>
    <t xml:space="preserve">ICICI Prudential Life Insurance Company Ltd.</t>
  </si>
  <si>
    <t xml:space="preserve">ICICIPRULI</t>
  </si>
  <si>
    <t xml:space="preserve">https://www.screener.in/company/ICICIPRULI/consolidated/</t>
  </si>
  <si>
    <t xml:space="preserve">Havells India Ltd.</t>
  </si>
  <si>
    <t xml:space="preserve">HAVELLS</t>
  </si>
  <si>
    <t xml:space="preserve">https://www.screener.in/company/HAVELLS/consolidated/</t>
  </si>
  <si>
    <t xml:space="preserve">UPL Ltd.</t>
  </si>
  <si>
    <t xml:space="preserve">UPL</t>
  </si>
  <si>
    <t xml:space="preserve">Fertilisers &amp; Pesticides</t>
  </si>
  <si>
    <t xml:space="preserve">https://www.screener.in/company/UPL/consolidated/</t>
  </si>
  <si>
    <t xml:space="preserve">Adani Ports and Special Economic Zone Ltd.</t>
  </si>
  <si>
    <t xml:space="preserve">ADANIPORTS</t>
  </si>
  <si>
    <t xml:space="preserve">Services</t>
  </si>
  <si>
    <t xml:space="preserve">https://www.screener.in/company/ADANIPORTS/consolidated/</t>
  </si>
  <si>
    <t xml:space="preserve">Bajaj Finserv Ltd.</t>
  </si>
  <si>
    <t xml:space="preserve">BAJAJFINSV</t>
  </si>
  <si>
    <t xml:space="preserve">https://www.screener.in/company/BAJAJFINSV/consolidated/</t>
  </si>
  <si>
    <t xml:space="preserve">Trent Ltd</t>
  </si>
  <si>
    <t xml:space="preserve">TRENT</t>
  </si>
  <si>
    <t xml:space="preserve">https://www.screener.in/company/TRENT/consolidated/</t>
  </si>
  <si>
    <t xml:space="preserve">Adani Transmission Ltd</t>
  </si>
  <si>
    <t xml:space="preserve">ADANITRANS</t>
  </si>
  <si>
    <t xml:space="preserve">https://www.screener.in/company/ADANIENSOL/consolidated/</t>
  </si>
  <si>
    <t xml:space="preserve">United Spirits Ltd.</t>
  </si>
  <si>
    <t xml:space="preserve">MCDOWELL-N</t>
  </si>
  <si>
    <t xml:space="preserve">https://www.screener.in/company/MCDOWELL-N/consolidated/</t>
  </si>
  <si>
    <t xml:space="preserve">GlaxoSmithKline Pharmaceuticals Ltd</t>
  </si>
  <si>
    <t xml:space="preserve">GLAXO</t>
  </si>
  <si>
    <t xml:space="preserve">https://www.screener.in/company/GLAXO/consolidated/</t>
  </si>
  <si>
    <t xml:space="preserve">Shree Cement Ltd.</t>
  </si>
  <si>
    <t xml:space="preserve">SHREECEM</t>
  </si>
  <si>
    <t xml:space="preserve">https://www.screener.in/company/SHREECEM/consolidated/</t>
  </si>
  <si>
    <t xml:space="preserve">Berger Paints India Ltd.</t>
  </si>
  <si>
    <t xml:space="preserve">BERGEPAINT</t>
  </si>
  <si>
    <t xml:space="preserve">https://www.screener.in/company/BERGEPAINT/consolidated/</t>
  </si>
  <si>
    <t xml:space="preserve">3M India Ltd</t>
  </si>
  <si>
    <t xml:space="preserve">3MINDIA</t>
  </si>
  <si>
    <t xml:space="preserve">https://www.screener.in/company/3MINDIA/consolidated/</t>
  </si>
  <si>
    <t xml:space="preserve">Maruti Suzuki India Ltd.</t>
  </si>
  <si>
    <t xml:space="preserve">MARUTI</t>
  </si>
  <si>
    <t xml:space="preserve">C+</t>
  </si>
  <si>
    <t xml:space="preserve">https://www.screener.in/company/MARUTI/consolidated/</t>
  </si>
  <si>
    <t xml:space="preserve">Indus Tower Ltd.</t>
  </si>
  <si>
    <t xml:space="preserve">INDUSTOWER</t>
  </si>
  <si>
    <t xml:space="preserve">https://www.screener.in/company/INDUSTOWER/consolidated/</t>
  </si>
  <si>
    <t xml:space="preserve">Jubilant Foodworks Ltd</t>
  </si>
  <si>
    <t xml:space="preserve">JUBLFOOD</t>
  </si>
  <si>
    <t xml:space="preserve">https://www.screener.in/company/JUBLFOOD/consolidated/</t>
  </si>
  <si>
    <t xml:space="preserve">Motherson Sumi Systems Ltd</t>
  </si>
  <si>
    <t xml:space="preserve">MOTHERSUMI</t>
  </si>
  <si>
    <t xml:space="preserve">https://www.screener.in/company/MOTHERSON/consolidated/</t>
  </si>
  <si>
    <t xml:space="preserve">Torrent Pharmaceuticals Ltd.</t>
  </si>
  <si>
    <t xml:space="preserve">TORNTPHARM</t>
  </si>
  <si>
    <t xml:space="preserve">https://www.screener.in/company/TORNTPHARM/consolidated/</t>
  </si>
  <si>
    <t xml:space="preserve">Info Edge (India) Ltd.</t>
  </si>
  <si>
    <t xml:space="preserve">NAUKRI</t>
  </si>
  <si>
    <t xml:space="preserve">https://www.screener.in/company/NAUKRI/consolidated/</t>
  </si>
  <si>
    <t xml:space="preserve">Abbott India Ltd.</t>
  </si>
  <si>
    <t xml:space="preserve">ABBOTINDIA</t>
  </si>
  <si>
    <t xml:space="preserve">https://www.screener.in/company/ABBOTINDIA/consolidated/</t>
  </si>
  <si>
    <t xml:space="preserve">Piramal Enterprises Ltd.</t>
  </si>
  <si>
    <t xml:space="preserve">PEL</t>
  </si>
  <si>
    <t xml:space="preserve">https://www.screener.in/company/PEL/consolidated/</t>
  </si>
  <si>
    <t xml:space="preserve">Whirlpool of India Ltd</t>
  </si>
  <si>
    <t xml:space="preserve">WHIRLPOOL</t>
  </si>
  <si>
    <t xml:space="preserve">https://www.screener.in/company/WHIRLPOOL/consolidated/</t>
  </si>
  <si>
    <t xml:space="preserve">Sun Pharmaceutical Industries Ltd.</t>
  </si>
  <si>
    <t xml:space="preserve">SUNPHARMA</t>
  </si>
  <si>
    <t xml:space="preserve">https://www.screener.in/company/SUNPHARMA/consolidated/</t>
  </si>
  <si>
    <t xml:space="preserve">United Breweries Ltd.</t>
  </si>
  <si>
    <t xml:space="preserve">UBL</t>
  </si>
  <si>
    <t xml:space="preserve">https://www.screener.in/company/UBL/consolidated/</t>
  </si>
  <si>
    <t xml:space="preserve">PI Industries Ltd</t>
  </si>
  <si>
    <t xml:space="preserve">PIIND</t>
  </si>
  <si>
    <t xml:space="preserve">https://www.screener.in/company/PIIND/consolidated/</t>
  </si>
  <si>
    <t xml:space="preserve">ACC Ltd</t>
  </si>
  <si>
    <t xml:space="preserve">ACC</t>
  </si>
  <si>
    <t xml:space="preserve">https://www.screener.in/company/ACC/consolidated/</t>
  </si>
  <si>
    <t xml:space="preserve">Cadila Healthcare Ltd.</t>
  </si>
  <si>
    <t xml:space="preserve">CADILAHC</t>
  </si>
  <si>
    <t xml:space="preserve">https://www.screener.in/company/ZYDUSLIFE/consolidated/</t>
  </si>
  <si>
    <t xml:space="preserve">Ambuja Cements Ltd.</t>
  </si>
  <si>
    <t xml:space="preserve">AMBUJACEM</t>
  </si>
  <si>
    <t xml:space="preserve">https://www.screener.in/company/AMBUJACEM/consolidated/</t>
  </si>
  <si>
    <t xml:space="preserve">Lupin Ltd.</t>
  </si>
  <si>
    <t xml:space="preserve">LUPIN</t>
  </si>
  <si>
    <t xml:space="preserve">https://www.screener.in/company/LUPIN/consolidated/</t>
  </si>
  <si>
    <t xml:space="preserve">Indraprastha Gas Ltd.</t>
  </si>
  <si>
    <t xml:space="preserve">IGL</t>
  </si>
  <si>
    <t xml:space="preserve">Oil &amp; Gas</t>
  </si>
  <si>
    <t xml:space="preserve">https://www.screener.in/company/IGL/consolidated/</t>
  </si>
  <si>
    <t xml:space="preserve">Reliance Industries Ltd.</t>
  </si>
  <si>
    <t xml:space="preserve">RELIANCE</t>
  </si>
  <si>
    <t xml:space="preserve">https://www.screener.in/company/RELIANCE/consolidated/</t>
  </si>
  <si>
    <t xml:space="preserve">Divi's Laboratories Ltd.</t>
  </si>
  <si>
    <t xml:space="preserve">DIVISLAB</t>
  </si>
  <si>
    <t xml:space="preserve">https://www.screener.in/company/DIVISLAB/consolidated/</t>
  </si>
  <si>
    <t xml:space="preserve">Bajaj Holdings &amp; Investment Ltd</t>
  </si>
  <si>
    <t xml:space="preserve">BAJAJHLDNG</t>
  </si>
  <si>
    <t xml:space="preserve">https://www.screener.in/company/BAJAJHLDNG/consolidated/</t>
  </si>
  <si>
    <t xml:space="preserve">Alkem Laboratories Ltd.</t>
  </si>
  <si>
    <t xml:space="preserve">ALKEM</t>
  </si>
  <si>
    <t xml:space="preserve">https://www.screener.in/company/ALKEM/consolidated/</t>
  </si>
  <si>
    <t xml:space="preserve">Aurobindo Pharma Ltd.</t>
  </si>
  <si>
    <t xml:space="preserve">AUROPHARMA</t>
  </si>
  <si>
    <t xml:space="preserve">https://www.screener.in/company/AUROPHARMA/consolidated/</t>
  </si>
  <si>
    <t xml:space="preserve">Page Industries Ltd</t>
  </si>
  <si>
    <t xml:space="preserve">PAGEIND</t>
  </si>
  <si>
    <t xml:space="preserve">Textiles</t>
  </si>
  <si>
    <t xml:space="preserve">VERIFIED REAL DATA from StockAnalysis.com (Screener unavailable)</t>
  </si>
  <si>
    <t xml:space="preserve">https://stockanalysis.com/quote/nse/PAGEIND/market-cap/</t>
  </si>
  <si>
    <t xml:space="preserve">Bandhan Bank Ltd.</t>
  </si>
  <si>
    <t xml:space="preserve">BANDHANBNK</t>
  </si>
  <si>
    <t xml:space="preserve">https://www.screener.in/company/BANDHANBNK/consolidated/</t>
  </si>
  <si>
    <t xml:space="preserve">DLF Ltd.</t>
  </si>
  <si>
    <t xml:space="preserve">DLF</t>
  </si>
  <si>
    <t xml:space="preserve">https://www.screener.in/company/DLF/consolidated/</t>
  </si>
  <si>
    <t xml:space="preserve">Vedanta Ltd</t>
  </si>
  <si>
    <t xml:space="preserve">VEDL</t>
  </si>
  <si>
    <t xml:space="preserve">https://www.screener.in/company/VEDL/consolidated/</t>
  </si>
  <si>
    <t xml:space="preserve">Muthoot Finance Ltd.</t>
  </si>
  <si>
    <t xml:space="preserve">MUTHOOTFIN</t>
  </si>
  <si>
    <t xml:space="preserve">https://www.screener.in/company/MUTHOOTFIN/consolidated/</t>
  </si>
  <si>
    <t xml:space="preserve">Yes Bank Ltd</t>
  </si>
  <si>
    <t xml:space="preserve">YESBANK</t>
  </si>
  <si>
    <t xml:space="preserve">https://www.screener.in/company/YESBANK/consolidated/</t>
  </si>
  <si>
    <t xml:space="preserve">Avenue Supermarts Ltd.</t>
  </si>
  <si>
    <t xml:space="preserve">DMART</t>
  </si>
  <si>
    <t xml:space="preserve">https://www.screener.in/company/DMART/consolidated/</t>
  </si>
  <si>
    <t xml:space="preserve">IPCA Laboratories Ltd</t>
  </si>
  <si>
    <t xml:space="preserve">IPCALAB</t>
  </si>
  <si>
    <t xml:space="preserve">https://www.screener.in/company/IPCALAB/consolidated/</t>
  </si>
  <si>
    <t xml:space="preserve">MRF Ltd</t>
  </si>
  <si>
    <t xml:space="preserve">MRF</t>
  </si>
  <si>
    <t xml:space="preserve">https://www.screener.in/company/MRF/consolidated/</t>
  </si>
  <si>
    <t xml:space="preserve">InterGlobe Aviation Ltd.</t>
  </si>
  <si>
    <t xml:space="preserve">INDIGO</t>
  </si>
  <si>
    <t xml:space="preserve">https://www.screener.in/company/INDIGO/consolidated/</t>
  </si>
  <si>
    <t xml:space="preserve">IDBI Bank Ltd</t>
  </si>
  <si>
    <t xml:space="preserve">IDBI</t>
  </si>
  <si>
    <t xml:space="preserve">https://www.screener.in/company/IDBI/consolidated/</t>
  </si>
  <si>
    <t xml:space="preserve">Rajesh Exports Ltd</t>
  </si>
  <si>
    <t xml:space="preserve">RAJESHEXPO</t>
  </si>
  <si>
    <t xml:space="preserve">https://www.screener.in/company/RAJESHEXPO/consolidated/</t>
  </si>
  <si>
    <t xml:space="preserve">ESG Score vs Stock Return — High vs Low ESG Comparison</t>
  </si>
  <si>
    <t xml:space="preserve">Return proxy: Stock_CAGR_5Y_% (best available column for a ~2020–2025 holding period). Groups split at the sample median ESG score.</t>
  </si>
  <si>
    <t xml:space="preserve">Group</t>
  </si>
  <si>
    <t xml:space="preserve">Companies</t>
  </si>
  <si>
    <t xml:space="preserve">Avg ESG Score</t>
  </si>
  <si>
    <t xml:space="preserve">Avg 1Y CAGR (%)</t>
  </si>
  <si>
    <t xml:space="preserve">Avg 3Y CAGR (%)</t>
  </si>
  <si>
    <t xml:space="preserve">Avg 5Y CAGR (%) [primary]</t>
  </si>
  <si>
    <t xml:space="preserve">Avg 10Y CAGR (%)</t>
  </si>
  <si>
    <t xml:space="preserve">High ESG</t>
  </si>
  <si>
    <t xml:space="preserve">Low ESG</t>
  </si>
  <si>
    <t xml:space="preserve">Difference (High − Low), 5Y CAGR</t>
  </si>
  <si>
    <t xml:space="preserve">Verdict</t>
  </si>
  <si>
    <t xml:space="preserve">Same pattern across all timeframes?</t>
  </si>
  <si>
    <t xml:space="preserve">Sector-Wise Breakdown: Does the High vs Low ESG Pattern Hold?</t>
  </si>
  <si>
    <t xml:space="preserve">#High ESG</t>
  </si>
  <si>
    <t xml:space="preserve">#Low ESG</t>
  </si>
  <si>
    <t xml:space="preserve">Avg ESG Score (sector)</t>
  </si>
  <si>
    <t xml:space="preserve">Avg 5Y CAGR - High ESG (%)</t>
  </si>
  <si>
    <t xml:space="preserve">Avg 5Y CAGR - Low ESG (%)</t>
  </si>
  <si>
    <t xml:space="preserve">Diff (High-Low)</t>
  </si>
  <si>
    <t xml:space="preserve">High ESG leads?</t>
  </si>
  <si>
    <t xml:space="preserve">Sectors where High ESG leads on 5Y CAGR</t>
  </si>
  <si>
    <t xml:space="preserve">Sectors where Low ESG leads on 5Y CAGR</t>
  </si>
  <si>
    <t xml:space="preserve">Sectors with insufficient data (only High or only Low present)</t>
  </si>
  <si>
    <t xml:space="preserve">Bonus: Correlation Between ESG Score and Stock Return</t>
  </si>
  <si>
    <t xml:space="preserve">Return Metric</t>
  </si>
  <si>
    <t xml:space="preserve">Correlation with ESG Score (r)</t>
  </si>
  <si>
    <t xml:space="preserve">Interpretation</t>
  </si>
  <si>
    <t xml:space="preserve">1Y CAGR</t>
  </si>
  <si>
    <t xml:space="preserve">3Y CAGR</t>
  </si>
  <si>
    <t xml:space="preserve">5Y CAGR (primary)</t>
  </si>
  <si>
    <t xml:space="preserve">10Y CAGR</t>
  </si>
  <si>
    <t xml:space="preserve">Note (Python cross-check, scipy.stats.pearsonr)</t>
  </si>
  <si>
    <t xml:space="preserve">r = 0.179, p = 0.075 for ESG Score vs 5Y CAGR (n=100) — weak positive correlation, not statistically significant at the 5% level.</t>
  </si>
  <si>
    <t xml:space="preserve">Reading this: ESG score explains very little of the variation in stock returns in this sample. High-ESG companies edge out Low-ESG companies on average, but ESG score alone is a weak predictor of returns — other drivers (sector, valuation, market cap) likely matter more.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</si>
</sst>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.0\%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5-Year Stock CAGR: High vs Low ESG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Summary!F6</c:f>
              <c:strCache>
                <c:ptCount val="1"/>
                <c:pt idx="0">
                  <c:v>Avg 5Y CAGR (%) [primary]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Summary!$A$7:$A$8</c:f>
              <c:strCache>
                <c:ptCount val="2"/>
                <c:pt idx="0">
                  <c:v>High ESG</c:v>
                </c:pt>
                <c:pt idx="1">
                  <c:v>Low ESG</c:v>
                </c:pt>
              </c:strCache>
            </c:strRef>
          </c:cat>
          <c:val>
            <c:numRef>
              <c:f>Summary!$F$7:$F$8</c:f>
              <c:numCache>
                <c:formatCode>0.0\%</c:formatCode>
                <c:ptCount val="2"/>
                <c:pt idx="0">
                  <c:v>13.8039215686275</c:v>
                </c:pt>
                <c:pt idx="1">
                  <c:v>10.9387755102041</c:v>
                </c:pt>
              </c:numCache>
            </c:numRef>
          </c:val>
        </c:ser>
        <c:gapWidth val="150"/>
        <c:overlap val="0"/>
        <c:axId val="89772617"/>
        <c:axId val="49412175"/>
      </c:barChart>
      <c:catAx>
        <c:axId val="897726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ESG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12175"/>
        <c:crosses val="autoZero"/>
        <c:auto val="1"/>
        <c:lblAlgn val="ctr"/>
        <c:lblOffset val="100"/>
        <c:noMultiLvlLbl val="0"/>
      </c:catAx>
      <c:valAx>
        <c:axId val="49412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5Y CAGR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726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5Y CAGR by Sector: High vs Low ESG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Sector_Analysis!E3</c:f>
              <c:strCache>
                <c:ptCount val="1"/>
                <c:pt idx="0">
                  <c:v>Avg 5Y CAGR - High ESG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Sector_Analysis!$A$4:$A$20</c:f>
              <c:strCache>
                <c:ptCount val="17"/>
                <c:pt idx="0">
                  <c:v>Automobile</c:v>
                </c:pt>
                <c:pt idx="1">
                  <c:v>Banks</c:v>
                </c:pt>
                <c:pt idx="2">
                  <c:v>Cement</c:v>
                </c:pt>
                <c:pt idx="3">
                  <c:v>Chemicals</c:v>
                </c:pt>
                <c:pt idx="4">
                  <c:v>Construction</c:v>
                </c:pt>
                <c:pt idx="5">
                  <c:v>Consumer Goods</c:v>
                </c:pt>
                <c:pt idx="6">
                  <c:v>Fertilisers &amp; Pesticides</c:v>
                </c:pt>
                <c:pt idx="7">
                  <c:v>Finance: Non-Banking</c:v>
                </c:pt>
                <c:pt idx="8">
                  <c:v>IT</c:v>
                </c:pt>
                <c:pt idx="9">
                  <c:v>Industrial Manufacturing</c:v>
                </c:pt>
                <c:pt idx="10">
                  <c:v>Metals &amp; Mining</c:v>
                </c:pt>
                <c:pt idx="11">
                  <c:v>Oil &amp; Gas</c:v>
                </c:pt>
                <c:pt idx="12">
                  <c:v>Pharma</c:v>
                </c:pt>
                <c:pt idx="13">
                  <c:v>Power</c:v>
                </c:pt>
                <c:pt idx="14">
                  <c:v>Services</c:v>
                </c:pt>
                <c:pt idx="15">
                  <c:v>Telecom</c:v>
                </c:pt>
                <c:pt idx="16">
                  <c:v>Textiles</c:v>
                </c:pt>
              </c:strCache>
            </c:strRef>
          </c:cat>
          <c:val>
            <c:numRef>
              <c:f>Sector_Analysis!$E$4:$E$20</c:f>
              <c:numCache>
                <c:formatCode>0.0\%</c:formatCode>
                <c:ptCount val="17"/>
                <c:pt idx="0">
                  <c:v>16.4</c:v>
                </c:pt>
                <c:pt idx="1">
                  <c:v>10.4</c:v>
                </c:pt>
                <c:pt idx="2">
                  <c:v>15.5</c:v>
                </c:pt>
                <c:pt idx="4">
                  <c:v>15</c:v>
                </c:pt>
                <c:pt idx="5">
                  <c:v>12.2142857142857</c:v>
                </c:pt>
                <c:pt idx="7">
                  <c:v>8.25</c:v>
                </c:pt>
                <c:pt idx="8">
                  <c:v>10.1428571428571</c:v>
                </c:pt>
                <c:pt idx="9">
                  <c:v>23.6666666666667</c:v>
                </c:pt>
                <c:pt idx="10">
                  <c:v>15.25</c:v>
                </c:pt>
                <c:pt idx="12">
                  <c:v>6.75</c:v>
                </c:pt>
                <c:pt idx="13">
                  <c:v>65</c:v>
                </c:pt>
                <c:pt idx="15">
                  <c:v>25</c:v>
                </c:pt>
              </c:numCache>
            </c:numRef>
          </c:val>
        </c:ser>
        <c:ser>
          <c:idx val="1"/>
          <c:order val="1"/>
          <c:tx>
            <c:strRef>
              <c:f>Sector_Analysis!F3</c:f>
              <c:strCache>
                <c:ptCount val="1"/>
                <c:pt idx="0">
                  <c:v>Avg 5Y CAGR - Low ESG (%)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Sector_Analysis!$A$4:$A$20</c:f>
              <c:strCache>
                <c:ptCount val="17"/>
                <c:pt idx="0">
                  <c:v>Automobile</c:v>
                </c:pt>
                <c:pt idx="1">
                  <c:v>Banks</c:v>
                </c:pt>
                <c:pt idx="2">
                  <c:v>Cement</c:v>
                </c:pt>
                <c:pt idx="3">
                  <c:v>Chemicals</c:v>
                </c:pt>
                <c:pt idx="4">
                  <c:v>Construction</c:v>
                </c:pt>
                <c:pt idx="5">
                  <c:v>Consumer Goods</c:v>
                </c:pt>
                <c:pt idx="6">
                  <c:v>Fertilisers &amp; Pesticides</c:v>
                </c:pt>
                <c:pt idx="7">
                  <c:v>Finance: Non-Banking</c:v>
                </c:pt>
                <c:pt idx="8">
                  <c:v>IT</c:v>
                </c:pt>
                <c:pt idx="9">
                  <c:v>Industrial Manufacturing</c:v>
                </c:pt>
                <c:pt idx="10">
                  <c:v>Metals &amp; Mining</c:v>
                </c:pt>
                <c:pt idx="11">
                  <c:v>Oil &amp; Gas</c:v>
                </c:pt>
                <c:pt idx="12">
                  <c:v>Pharma</c:v>
                </c:pt>
                <c:pt idx="13">
                  <c:v>Power</c:v>
                </c:pt>
                <c:pt idx="14">
                  <c:v>Services</c:v>
                </c:pt>
                <c:pt idx="15">
                  <c:v>Telecom</c:v>
                </c:pt>
                <c:pt idx="16">
                  <c:v>Textiles</c:v>
                </c:pt>
              </c:strCache>
            </c:strRef>
          </c:cat>
          <c:val>
            <c:numRef>
              <c:f>Sector_Analysis!$F$4:$F$20</c:f>
              <c:numCache>
                <c:formatCode>0.0\%</c:formatCode>
                <c:ptCount val="17"/>
                <c:pt idx="0">
                  <c:v>8.75</c:v>
                </c:pt>
                <c:pt idx="1">
                  <c:v>-5.33333333333333</c:v>
                </c:pt>
                <c:pt idx="2">
                  <c:v>10.6666666666667</c:v>
                </c:pt>
                <c:pt idx="3">
                  <c:v>15</c:v>
                </c:pt>
                <c:pt idx="4">
                  <c:v>28</c:v>
                </c:pt>
                <c:pt idx="5">
                  <c:v>11.4444444444444</c:v>
                </c:pt>
                <c:pt idx="6">
                  <c:v>15</c:v>
                </c:pt>
                <c:pt idx="7">
                  <c:v>10.4</c:v>
                </c:pt>
                <c:pt idx="8">
                  <c:v>19</c:v>
                </c:pt>
                <c:pt idx="10">
                  <c:v>11.5</c:v>
                </c:pt>
                <c:pt idx="11">
                  <c:v>7</c:v>
                </c:pt>
                <c:pt idx="12">
                  <c:v>11</c:v>
                </c:pt>
                <c:pt idx="13">
                  <c:v>35</c:v>
                </c:pt>
                <c:pt idx="14">
                  <c:v>17.5</c:v>
                </c:pt>
                <c:pt idx="15">
                  <c:v>-2</c:v>
                </c:pt>
                <c:pt idx="16">
                  <c:v>12</c:v>
                </c:pt>
              </c:numCache>
            </c:numRef>
          </c:val>
        </c:ser>
        <c:gapWidth val="150"/>
        <c:overlap val="0"/>
        <c:axId val="52112375"/>
        <c:axId val="21938215"/>
      </c:barChart>
      <c:catAx>
        <c:axId val="52112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38215"/>
        <c:crosses val="autoZero"/>
        <c:auto val="1"/>
        <c:lblAlgn val="ctr"/>
        <c:lblOffset val="100"/>
        <c:noMultiLvlLbl val="0"/>
      </c:catAx>
      <c:valAx>
        <c:axId val="21938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5Y CAGR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12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ESG Score vs 5Y Stock CAGR (each dot = one company)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"Companies"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Raw_Data!$F$2:$F$101</c:f>
              <c:numCache>
                <c:formatCode>General</c:formatCode>
                <c:ptCount val="100"/>
                <c:pt idx="0">
                  <c:v>81</c:v>
                </c:pt>
                <c:pt idx="1">
                  <c:v>79</c:v>
                </c:pt>
                <c:pt idx="2">
                  <c:v>78</c:v>
                </c:pt>
                <c:pt idx="3">
                  <c:v>78</c:v>
                </c:pt>
                <c:pt idx="4">
                  <c:v>77</c:v>
                </c:pt>
                <c:pt idx="5">
                  <c:v>76</c:v>
                </c:pt>
                <c:pt idx="6">
                  <c:v>75</c:v>
                </c:pt>
                <c:pt idx="7">
                  <c:v>74</c:v>
                </c:pt>
                <c:pt idx="8">
                  <c:v>73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71</c:v>
                </c:pt>
                <c:pt idx="13">
                  <c:v>71</c:v>
                </c:pt>
                <c:pt idx="14">
                  <c:v>70</c:v>
                </c:pt>
                <c:pt idx="15">
                  <c:v>70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67</c:v>
                </c:pt>
                <c:pt idx="25">
                  <c:v>67</c:v>
                </c:pt>
                <c:pt idx="26">
                  <c:v>67</c:v>
                </c:pt>
                <c:pt idx="27">
                  <c:v>67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64</c:v>
                </c:pt>
                <c:pt idx="38">
                  <c:v>64</c:v>
                </c:pt>
                <c:pt idx="39">
                  <c:v>64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64</c:v>
                </c:pt>
                <c:pt idx="44">
                  <c:v>63</c:v>
                </c:pt>
                <c:pt idx="45">
                  <c:v>63</c:v>
                </c:pt>
                <c:pt idx="46">
                  <c:v>63</c:v>
                </c:pt>
                <c:pt idx="47">
                  <c:v>63</c:v>
                </c:pt>
                <c:pt idx="48">
                  <c:v>63</c:v>
                </c:pt>
                <c:pt idx="49">
                  <c:v>63</c:v>
                </c:pt>
                <c:pt idx="50">
                  <c:v>63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61</c:v>
                </c:pt>
                <c:pt idx="58">
                  <c:v>61</c:v>
                </c:pt>
                <c:pt idx="59">
                  <c:v>61</c:v>
                </c:pt>
                <c:pt idx="60">
                  <c:v>61</c:v>
                </c:pt>
                <c:pt idx="61">
                  <c:v>61</c:v>
                </c:pt>
                <c:pt idx="62">
                  <c:v>61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58</c:v>
                </c:pt>
                <c:pt idx="70">
                  <c:v>58</c:v>
                </c:pt>
                <c:pt idx="71">
                  <c:v>58</c:v>
                </c:pt>
                <c:pt idx="72">
                  <c:v>58</c:v>
                </c:pt>
                <c:pt idx="73">
                  <c:v>58</c:v>
                </c:pt>
                <c:pt idx="74">
                  <c:v>58</c:v>
                </c:pt>
                <c:pt idx="75">
                  <c:v>57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56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55</c:v>
                </c:pt>
                <c:pt idx="84">
                  <c:v>55</c:v>
                </c:pt>
                <c:pt idx="85">
                  <c:v>55</c:v>
                </c:pt>
                <c:pt idx="86">
                  <c:v>54</c:v>
                </c:pt>
                <c:pt idx="87">
                  <c:v>53</c:v>
                </c:pt>
                <c:pt idx="88">
                  <c:v>52</c:v>
                </c:pt>
                <c:pt idx="89">
                  <c:v>52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50</c:v>
                </c:pt>
                <c:pt idx="95">
                  <c:v>50</c:v>
                </c:pt>
                <c:pt idx="96">
                  <c:v>49</c:v>
                </c:pt>
                <c:pt idx="97">
                  <c:v>48</c:v>
                </c:pt>
                <c:pt idx="98">
                  <c:v>46</c:v>
                </c:pt>
                <c:pt idx="99">
                  <c:v>42</c:v>
                </c:pt>
              </c:numCache>
            </c:numRef>
          </c:xVal>
          <c:yVal>
            <c:numRef>
              <c:f>Raw_Data!$N$2:$N$101</c:f>
              <c:numCache>
                <c:formatCode>General</c:formatCode>
                <c:ptCount val="100"/>
                <c:pt idx="0">
                  <c:v>16</c:v>
                </c:pt>
                <c:pt idx="1">
                  <c:v>5</c:v>
                </c:pt>
                <c:pt idx="2">
                  <c:v>5</c:v>
                </c:pt>
                <c:pt idx="3">
                  <c:v>-1</c:v>
                </c:pt>
                <c:pt idx="4">
                  <c:v>14</c:v>
                </c:pt>
                <c:pt idx="5">
                  <c:v>22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18</c:v>
                </c:pt>
                <c:pt idx="10">
                  <c:v>18</c:v>
                </c:pt>
                <c:pt idx="11">
                  <c:v>24</c:v>
                </c:pt>
                <c:pt idx="12">
                  <c:v>28</c:v>
                </c:pt>
                <c:pt idx="13">
                  <c:v>12</c:v>
                </c:pt>
                <c:pt idx="14">
                  <c:v>28</c:v>
                </c:pt>
                <c:pt idx="15">
                  <c:v>9</c:v>
                </c:pt>
                <c:pt idx="16">
                  <c:v>15</c:v>
                </c:pt>
                <c:pt idx="17">
                  <c:v>15</c:v>
                </c:pt>
                <c:pt idx="18">
                  <c:v>8</c:v>
                </c:pt>
                <c:pt idx="19">
                  <c:v>3</c:v>
                </c:pt>
                <c:pt idx="20">
                  <c:v>8</c:v>
                </c:pt>
                <c:pt idx="21">
                  <c:v>12</c:v>
                </c:pt>
                <c:pt idx="22">
                  <c:v>11</c:v>
                </c:pt>
                <c:pt idx="23">
                  <c:v>8</c:v>
                </c:pt>
                <c:pt idx="24">
                  <c:v>20</c:v>
                </c:pt>
                <c:pt idx="25">
                  <c:v>6</c:v>
                </c:pt>
                <c:pt idx="26">
                  <c:v>35</c:v>
                </c:pt>
                <c:pt idx="27">
                  <c:v>12</c:v>
                </c:pt>
                <c:pt idx="28">
                  <c:v>18</c:v>
                </c:pt>
                <c:pt idx="29">
                  <c:v>15</c:v>
                </c:pt>
                <c:pt idx="30">
                  <c:v>65</c:v>
                </c:pt>
                <c:pt idx="31">
                  <c:v>4</c:v>
                </c:pt>
                <c:pt idx="32">
                  <c:v>10</c:v>
                </c:pt>
                <c:pt idx="33">
                  <c:v>24</c:v>
                </c:pt>
                <c:pt idx="34">
                  <c:v>16</c:v>
                </c:pt>
                <c:pt idx="35">
                  <c:v>10</c:v>
                </c:pt>
                <c:pt idx="36">
                  <c:v>5</c:v>
                </c:pt>
                <c:pt idx="37">
                  <c:v>25</c:v>
                </c:pt>
                <c:pt idx="38">
                  <c:v>8</c:v>
                </c:pt>
                <c:pt idx="39">
                  <c:v>19</c:v>
                </c:pt>
                <c:pt idx="40">
                  <c:v>6</c:v>
                </c:pt>
                <c:pt idx="41">
                  <c:v>10</c:v>
                </c:pt>
                <c:pt idx="42">
                  <c:v>-2</c:v>
                </c:pt>
                <c:pt idx="43">
                  <c:v>2</c:v>
                </c:pt>
                <c:pt idx="44">
                  <c:v>16</c:v>
                </c:pt>
                <c:pt idx="45">
                  <c:v>18</c:v>
                </c:pt>
                <c:pt idx="46">
                  <c:v>14</c:v>
                </c:pt>
                <c:pt idx="47">
                  <c:v>9</c:v>
                </c:pt>
                <c:pt idx="48">
                  <c:v>12</c:v>
                </c:pt>
                <c:pt idx="49">
                  <c:v>5</c:v>
                </c:pt>
                <c:pt idx="50">
                  <c:v>10</c:v>
                </c:pt>
                <c:pt idx="51">
                  <c:v>18</c:v>
                </c:pt>
                <c:pt idx="52">
                  <c:v>11</c:v>
                </c:pt>
                <c:pt idx="53">
                  <c:v>15</c:v>
                </c:pt>
                <c:pt idx="54">
                  <c:v>-1</c:v>
                </c:pt>
                <c:pt idx="55">
                  <c:v>18</c:v>
                </c:pt>
                <c:pt idx="56">
                  <c:v>2</c:v>
                </c:pt>
                <c:pt idx="57">
                  <c:v>21</c:v>
                </c:pt>
                <c:pt idx="58">
                  <c:v>12</c:v>
                </c:pt>
                <c:pt idx="59">
                  <c:v>55</c:v>
                </c:pt>
                <c:pt idx="60">
                  <c:v>35</c:v>
                </c:pt>
                <c:pt idx="61">
                  <c:v>15</c:v>
                </c:pt>
                <c:pt idx="62">
                  <c:v>10</c:v>
                </c:pt>
                <c:pt idx="63">
                  <c:v>8</c:v>
                </c:pt>
                <c:pt idx="64">
                  <c:v>11</c:v>
                </c:pt>
                <c:pt idx="65">
                  <c:v>11</c:v>
                </c:pt>
                <c:pt idx="66">
                  <c:v>8</c:v>
                </c:pt>
                <c:pt idx="67">
                  <c:v>-2</c:v>
                </c:pt>
                <c:pt idx="68">
                  <c:v>4</c:v>
                </c:pt>
                <c:pt idx="69">
                  <c:v>6</c:v>
                </c:pt>
                <c:pt idx="70">
                  <c:v>15</c:v>
                </c:pt>
                <c:pt idx="71">
                  <c:v>19</c:v>
                </c:pt>
                <c:pt idx="72">
                  <c:v>22</c:v>
                </c:pt>
                <c:pt idx="73">
                  <c:v>-12</c:v>
                </c:pt>
                <c:pt idx="74">
                  <c:v>-4</c:v>
                </c:pt>
                <c:pt idx="75">
                  <c:v>16</c:v>
                </c:pt>
                <c:pt idx="76">
                  <c:v>10</c:v>
                </c:pt>
                <c:pt idx="77">
                  <c:v>28</c:v>
                </c:pt>
                <c:pt idx="78">
                  <c:v>8</c:v>
                </c:pt>
                <c:pt idx="79">
                  <c:v>14</c:v>
                </c:pt>
                <c:pt idx="80">
                  <c:v>16</c:v>
                </c:pt>
                <c:pt idx="81">
                  <c:v>2</c:v>
                </c:pt>
                <c:pt idx="82">
                  <c:v>6</c:v>
                </c:pt>
                <c:pt idx="83">
                  <c:v>8</c:v>
                </c:pt>
                <c:pt idx="84">
                  <c:v>18</c:v>
                </c:pt>
                <c:pt idx="85">
                  <c:v>12</c:v>
                </c:pt>
                <c:pt idx="86">
                  <c:v>16</c:v>
                </c:pt>
                <c:pt idx="87">
                  <c:v>12</c:v>
                </c:pt>
                <c:pt idx="88">
                  <c:v>12</c:v>
                </c:pt>
                <c:pt idx="89">
                  <c:v>-15</c:v>
                </c:pt>
                <c:pt idx="90">
                  <c:v>28</c:v>
                </c:pt>
                <c:pt idx="91">
                  <c:v>12</c:v>
                </c:pt>
                <c:pt idx="92">
                  <c:v>11</c:v>
                </c:pt>
                <c:pt idx="93">
                  <c:v>-15</c:v>
                </c:pt>
                <c:pt idx="94">
                  <c:v>12</c:v>
                </c:pt>
                <c:pt idx="95">
                  <c:v>8</c:v>
                </c:pt>
                <c:pt idx="96">
                  <c:v>10</c:v>
                </c:pt>
                <c:pt idx="97">
                  <c:v>14</c:v>
                </c:pt>
                <c:pt idx="98">
                  <c:v>14</c:v>
                </c:pt>
                <c:pt idx="99">
                  <c:v>-18</c:v>
                </c:pt>
              </c:numCache>
            </c:numRef>
          </c:yVal>
          <c:smooth val="1"/>
        </c:ser>
        <c:axId val="986731"/>
        <c:axId val="92676664"/>
      </c:scatterChart>
      <c:valAx>
        <c:axId val="98673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76664"/>
        <c:crosses val="autoZero"/>
        <c:crossBetween val="midCat"/>
      </c:valAx>
      <c:valAx>
        <c:axId val="926766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5Y CAGR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73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48240</xdr:rowOff>
    </xdr:from>
    <xdr:to>
      <xdr:col>3</xdr:col>
      <xdr:colOff>1092240</xdr:colOff>
      <xdr:row>30</xdr:row>
      <xdr:rowOff>70200</xdr:rowOff>
    </xdr:to>
    <xdr:graphicFrame>
      <xdr:nvGraphicFramePr>
        <xdr:cNvPr id="0" name="Chart 1"/>
        <xdr:cNvGraphicFramePr/>
      </xdr:nvGraphicFramePr>
      <xdr:xfrm>
        <a:off x="0" y="303912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48240</xdr:rowOff>
    </xdr:from>
    <xdr:to>
      <xdr:col>8</xdr:col>
      <xdr:colOff>211320</xdr:colOff>
      <xdr:row>43</xdr:row>
      <xdr:rowOff>28080</xdr:rowOff>
    </xdr:to>
    <xdr:graphicFrame>
      <xdr:nvGraphicFramePr>
        <xdr:cNvPr id="1" name="Chart 1"/>
        <xdr:cNvGraphicFramePr/>
      </xdr:nvGraphicFramePr>
      <xdr:xfrm>
        <a:off x="0" y="4753440"/>
        <a:ext cx="1007928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3</xdr:col>
      <xdr:colOff>417960</xdr:colOff>
      <xdr:row>30</xdr:row>
      <xdr:rowOff>170640</xdr:rowOff>
    </xdr:to>
    <xdr:graphicFrame>
      <xdr:nvGraphicFramePr>
        <xdr:cNvPr id="2" name="Chart 1"/>
        <xdr:cNvGraphicFramePr/>
      </xdr:nvGraphicFramePr>
      <xdr:xfrm>
        <a:off x="0" y="24192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4" min="11" style="1" width="10"/>
    <col collapsed="false" customWidth="true" hidden="false" outlineLevel="0" max="15" min="15" style="1" width="11"/>
    <col collapsed="false" customWidth="true" hidden="false" outlineLevel="0" max="16" min="16" style="1" width="38"/>
    <col collapsed="false" customWidth="true" hidden="false" outlineLevel="0" max="17" min="17" style="1" width="45"/>
    <col collapsed="false" customWidth="true" hidden="false" outlineLevel="0" max="18" min="18" style="1" width="3"/>
    <col collapsed="false" customWidth="true" hidden="false" outlineLevel="0" max="19" min="19" style="1" width="26"/>
  </cols>
  <sheetData>
    <row r="1" customFormat="false" ht="5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T1" s="3" t="s">
        <v>18</v>
      </c>
    </row>
    <row r="2" customFormat="false" ht="15" hidden="false" customHeight="true" outlineLevel="0" collapsed="false">
      <c r="A2" s="4" t="n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n">
        <v>81</v>
      </c>
      <c r="G2" s="4" t="n">
        <v>108906</v>
      </c>
      <c r="H2" s="4" t="n">
        <v>15.6</v>
      </c>
      <c r="I2" s="4" t="n">
        <v>28.4</v>
      </c>
      <c r="J2" s="4" t="n">
        <v>33.4</v>
      </c>
      <c r="K2" s="4" t="n">
        <v>25.8</v>
      </c>
      <c r="L2" s="4" t="n">
        <v>24</v>
      </c>
      <c r="M2" s="4" t="n">
        <v>18</v>
      </c>
      <c r="N2" s="4" t="n">
        <v>16</v>
      </c>
      <c r="O2" s="4" t="n">
        <v>12</v>
      </c>
      <c r="P2" s="4" t="s">
        <v>23</v>
      </c>
      <c r="Q2" s="4" t="s">
        <v>24</v>
      </c>
      <c r="R2" s="4" t="str">
        <f aca="false">IF(F2&gt;=$T$2,"High ESG","Low ESG")</f>
        <v>High ESG</v>
      </c>
      <c r="T2" s="5" t="n">
        <f aca="false">MEDIAN(F2:F101)</f>
        <v>63</v>
      </c>
    </row>
    <row r="3" customFormat="false" ht="15" hidden="false" customHeight="true" outlineLevel="0" collapsed="false">
      <c r="A3" s="4" t="n">
        <v>2</v>
      </c>
      <c r="B3" s="4" t="s">
        <v>25</v>
      </c>
      <c r="C3" s="4" t="s">
        <v>26</v>
      </c>
      <c r="D3" s="4" t="s">
        <v>27</v>
      </c>
      <c r="E3" s="4" t="s">
        <v>22</v>
      </c>
      <c r="F3" s="4" t="n">
        <v>79</v>
      </c>
      <c r="G3" s="4" t="n">
        <v>193728</v>
      </c>
      <c r="H3" s="4" t="n">
        <v>18.2</v>
      </c>
      <c r="I3" s="4" t="n">
        <v>21.4</v>
      </c>
      <c r="J3" s="4" t="n">
        <v>72.9</v>
      </c>
      <c r="K3" s="4" t="n">
        <v>6.5</v>
      </c>
      <c r="L3" s="4" t="n">
        <v>-12</v>
      </c>
      <c r="M3" s="4" t="n">
        <v>-4</v>
      </c>
      <c r="N3" s="4" t="n">
        <v>5</v>
      </c>
      <c r="O3" s="4" t="n">
        <v>6</v>
      </c>
      <c r="P3" s="4" t="s">
        <v>23</v>
      </c>
      <c r="Q3" s="4" t="s">
        <v>28</v>
      </c>
      <c r="R3" s="4" t="str">
        <f aca="false">IF(F3&gt;=$T$2,"High ESG","Low ESG")</f>
        <v>High ESG</v>
      </c>
    </row>
    <row r="4" customFormat="false" ht="15" hidden="false" customHeight="true" outlineLevel="0" collapsed="false">
      <c r="A4" s="4" t="n">
        <v>3</v>
      </c>
      <c r="B4" s="4" t="s">
        <v>29</v>
      </c>
      <c r="C4" s="4" t="s">
        <v>30</v>
      </c>
      <c r="D4" s="4" t="s">
        <v>31</v>
      </c>
      <c r="E4" s="4" t="s">
        <v>22</v>
      </c>
      <c r="F4" s="4" t="n">
        <v>78</v>
      </c>
      <c r="G4" s="4" t="n">
        <v>542996</v>
      </c>
      <c r="H4" s="4" t="n">
        <v>23.91</v>
      </c>
      <c r="I4" s="4" t="n">
        <v>33.83</v>
      </c>
      <c r="J4" s="4" t="n">
        <v>61.9</v>
      </c>
      <c r="K4" s="4" t="n">
        <v>14.2</v>
      </c>
      <c r="L4" s="4" t="n">
        <v>-8</v>
      </c>
      <c r="M4" s="4" t="n">
        <v>2</v>
      </c>
      <c r="N4" s="4" t="n">
        <v>5</v>
      </c>
      <c r="O4" s="4" t="n">
        <v>15</v>
      </c>
      <c r="P4" s="4" t="s">
        <v>23</v>
      </c>
      <c r="Q4" s="4" t="s">
        <v>32</v>
      </c>
      <c r="R4" s="4" t="str">
        <f aca="false">IF(F4&gt;=$T$2,"High ESG","Low ESG")</f>
        <v>High ESG</v>
      </c>
    </row>
    <row r="5" customFormat="false" ht="15" hidden="false" customHeight="true" outlineLevel="0" collapsed="false">
      <c r="A5" s="4" t="n">
        <v>4</v>
      </c>
      <c r="B5" s="4" t="s">
        <v>33</v>
      </c>
      <c r="C5" s="4" t="s">
        <v>34</v>
      </c>
      <c r="D5" s="4" t="s">
        <v>27</v>
      </c>
      <c r="E5" s="4" t="s">
        <v>22</v>
      </c>
      <c r="F5" s="4" t="n">
        <v>78</v>
      </c>
      <c r="G5" s="4" t="n">
        <v>469871</v>
      </c>
      <c r="H5" s="4" t="n">
        <v>30.82</v>
      </c>
      <c r="I5" s="4" t="n">
        <v>15.56</v>
      </c>
      <c r="J5" s="4" t="n">
        <v>14.85</v>
      </c>
      <c r="K5" s="4" t="n">
        <v>33.12</v>
      </c>
      <c r="L5" s="4" t="n">
        <v>-16</v>
      </c>
      <c r="M5" s="4" t="n">
        <v>0</v>
      </c>
      <c r="N5" s="4" t="n">
        <v>-1</v>
      </c>
      <c r="O5" s="4" t="n">
        <v>7</v>
      </c>
      <c r="P5" s="4" t="s">
        <v>23</v>
      </c>
      <c r="Q5" s="4" t="s">
        <v>35</v>
      </c>
      <c r="R5" s="4" t="str">
        <f aca="false">IF(F5&gt;=$T$2,"High ESG","Low ESG")</f>
        <v>High ESG</v>
      </c>
    </row>
    <row r="6" customFormat="false" ht="15" hidden="false" customHeight="true" outlineLevel="0" collapsed="false">
      <c r="A6" s="4" t="n">
        <v>5</v>
      </c>
      <c r="B6" s="4" t="s">
        <v>36</v>
      </c>
      <c r="C6" s="4" t="s">
        <v>37</v>
      </c>
      <c r="D6" s="4" t="s">
        <v>27</v>
      </c>
      <c r="E6" s="4" t="s">
        <v>22</v>
      </c>
      <c r="F6" s="4" t="n">
        <v>77</v>
      </c>
      <c r="G6" s="4" t="n">
        <v>804156</v>
      </c>
      <c r="H6" s="4" t="n">
        <v>46.3</v>
      </c>
      <c r="I6" s="4" t="n">
        <v>28.5</v>
      </c>
      <c r="J6" s="4" t="n">
        <v>72.4</v>
      </c>
      <c r="K6" s="4" t="n">
        <v>12.5</v>
      </c>
      <c r="L6" s="4" t="n">
        <v>6</v>
      </c>
      <c r="M6" s="4" t="n">
        <v>11</v>
      </c>
      <c r="N6" s="4" t="n">
        <v>14</v>
      </c>
      <c r="O6" s="4" t="n">
        <v>15</v>
      </c>
      <c r="P6" s="4" t="s">
        <v>23</v>
      </c>
      <c r="Q6" s="4" t="s">
        <v>38</v>
      </c>
      <c r="R6" s="4" t="str">
        <f aca="false">IF(F6&gt;=$T$2,"High ESG","Low ESG")</f>
        <v>High ESG</v>
      </c>
    </row>
    <row r="7" customFormat="false" ht="15" hidden="false" customHeight="true" outlineLevel="0" collapsed="false">
      <c r="A7" s="4" t="n">
        <v>6</v>
      </c>
      <c r="B7" s="4" t="s">
        <v>39</v>
      </c>
      <c r="C7" s="4" t="s">
        <v>40</v>
      </c>
      <c r="D7" s="4" t="s">
        <v>41</v>
      </c>
      <c r="E7" s="4" t="s">
        <v>22</v>
      </c>
      <c r="F7" s="4" t="n">
        <v>76</v>
      </c>
      <c r="G7" s="4" t="n">
        <v>388199</v>
      </c>
      <c r="H7" s="4" t="n">
        <v>16.5</v>
      </c>
      <c r="I7" s="4" t="n">
        <v>28.5</v>
      </c>
      <c r="J7" s="4" t="n">
        <v>18.23</v>
      </c>
      <c r="K7" s="4" t="n">
        <v>40.5</v>
      </c>
      <c r="L7" s="4" t="n">
        <v>45</v>
      </c>
      <c r="M7" s="4" t="n">
        <v>35</v>
      </c>
      <c r="N7" s="4" t="n">
        <v>22</v>
      </c>
      <c r="O7" s="4" t="n">
        <v>12</v>
      </c>
      <c r="P7" s="4" t="s">
        <v>23</v>
      </c>
      <c r="Q7" s="4" t="s">
        <v>42</v>
      </c>
      <c r="R7" s="4" t="str">
        <f aca="false">IF(F7&gt;=$T$2,"High ESG","Low ESG")</f>
        <v>High ESG</v>
      </c>
    </row>
    <row r="8" customFormat="false" ht="15" hidden="false" customHeight="true" outlineLevel="0" collapsed="false">
      <c r="A8" s="4" t="n">
        <v>7</v>
      </c>
      <c r="B8" s="4" t="s">
        <v>43</v>
      </c>
      <c r="C8" s="4" t="s">
        <v>44</v>
      </c>
      <c r="D8" s="4" t="s">
        <v>27</v>
      </c>
      <c r="E8" s="4" t="s">
        <v>22</v>
      </c>
      <c r="F8" s="4" t="n">
        <v>75</v>
      </c>
      <c r="G8" s="4" t="n">
        <v>142893</v>
      </c>
      <c r="H8" s="4" t="n">
        <v>14.2</v>
      </c>
      <c r="I8" s="4" t="n">
        <v>32.1</v>
      </c>
      <c r="J8" s="4" t="n">
        <v>35.1</v>
      </c>
      <c r="K8" s="4" t="n">
        <v>26.3</v>
      </c>
      <c r="L8" s="4" t="n">
        <v>10</v>
      </c>
      <c r="M8" s="4" t="n">
        <v>8</v>
      </c>
      <c r="N8" s="4" t="n">
        <v>11</v>
      </c>
      <c r="O8" s="4" t="n">
        <v>9</v>
      </c>
      <c r="P8" s="4" t="s">
        <v>23</v>
      </c>
      <c r="Q8" s="4" t="s">
        <v>45</v>
      </c>
      <c r="R8" s="4" t="str">
        <f aca="false">IF(F8&gt;=$T$2,"High ESG","Low ESG")</f>
        <v>High ESG</v>
      </c>
    </row>
    <row r="9" customFormat="false" ht="15" hidden="false" customHeight="true" outlineLevel="0" collapsed="false">
      <c r="A9" s="4" t="n">
        <v>8</v>
      </c>
      <c r="B9" s="4" t="s">
        <v>46</v>
      </c>
      <c r="C9" s="4" t="s">
        <v>47</v>
      </c>
      <c r="D9" s="4" t="s">
        <v>27</v>
      </c>
      <c r="E9" s="4" t="s">
        <v>48</v>
      </c>
      <c r="F9" s="4" t="n">
        <v>74</v>
      </c>
      <c r="G9" s="4" t="n">
        <v>316440</v>
      </c>
      <c r="H9" s="4" t="n">
        <v>22.4</v>
      </c>
      <c r="I9" s="4" t="n">
        <v>18.5</v>
      </c>
      <c r="J9" s="4" t="n">
        <v>60.8</v>
      </c>
      <c r="K9" s="4" t="n">
        <v>18.9</v>
      </c>
      <c r="L9" s="4" t="n">
        <v>8</v>
      </c>
      <c r="M9" s="4" t="n">
        <v>9</v>
      </c>
      <c r="N9" s="4" t="n">
        <v>12</v>
      </c>
      <c r="O9" s="4" t="n">
        <v>16</v>
      </c>
      <c r="P9" s="4" t="s">
        <v>23</v>
      </c>
      <c r="Q9" s="4" t="s">
        <v>49</v>
      </c>
      <c r="R9" s="4" t="str">
        <f aca="false">IF(F9&gt;=$T$2,"High ESG","Low ESG")</f>
        <v>High ESG</v>
      </c>
    </row>
    <row r="10" customFormat="false" ht="15" hidden="false" customHeight="true" outlineLevel="0" collapsed="false">
      <c r="A10" s="4" t="n">
        <v>9</v>
      </c>
      <c r="B10" s="4" t="s">
        <v>50</v>
      </c>
      <c r="C10" s="4" t="s">
        <v>51</v>
      </c>
      <c r="D10" s="4" t="s">
        <v>31</v>
      </c>
      <c r="E10" s="4" t="s">
        <v>48</v>
      </c>
      <c r="F10" s="4" t="n">
        <v>73</v>
      </c>
      <c r="G10" s="4" t="n">
        <v>364294</v>
      </c>
      <c r="H10" s="4" t="n">
        <v>29.1</v>
      </c>
      <c r="I10" s="4" t="n">
        <v>24.8</v>
      </c>
      <c r="J10" s="4" t="n">
        <v>0</v>
      </c>
      <c r="K10" s="4" t="n">
        <v>43.1</v>
      </c>
      <c r="L10" s="4" t="n">
        <v>12</v>
      </c>
      <c r="M10" s="4" t="n">
        <v>28</v>
      </c>
      <c r="N10" s="4" t="n">
        <v>11</v>
      </c>
      <c r="O10" s="4" t="n">
        <v>8</v>
      </c>
      <c r="P10" s="4" t="s">
        <v>23</v>
      </c>
      <c r="Q10" s="4" t="s">
        <v>52</v>
      </c>
      <c r="R10" s="4" t="str">
        <f aca="false">IF(F10&gt;=$T$2,"High ESG","Low ESG")</f>
        <v>High ESG</v>
      </c>
    </row>
    <row r="11" customFormat="false" ht="15" hidden="false" customHeight="true" outlineLevel="0" collapsed="false">
      <c r="A11" s="4" t="n">
        <v>10</v>
      </c>
      <c r="B11" s="4" t="s">
        <v>53</v>
      </c>
      <c r="C11" s="4" t="s">
        <v>54</v>
      </c>
      <c r="D11" s="4" t="s">
        <v>55</v>
      </c>
      <c r="E11" s="4" t="s">
        <v>48</v>
      </c>
      <c r="F11" s="4" t="n">
        <v>72</v>
      </c>
      <c r="G11" s="4" t="n">
        <v>248422</v>
      </c>
      <c r="H11" s="4" t="n">
        <v>11.5</v>
      </c>
      <c r="I11" s="4" t="n">
        <v>14.5</v>
      </c>
      <c r="J11" s="4" t="n">
        <v>33.9</v>
      </c>
      <c r="K11" s="4" t="n">
        <v>20.1</v>
      </c>
      <c r="L11" s="4" t="n">
        <v>10</v>
      </c>
      <c r="M11" s="4" t="n">
        <v>12</v>
      </c>
      <c r="N11" s="4" t="n">
        <v>18</v>
      </c>
      <c r="O11" s="4" t="n">
        <v>8</v>
      </c>
      <c r="P11" s="4" t="s">
        <v>23</v>
      </c>
      <c r="Q11" s="4" t="s">
        <v>56</v>
      </c>
      <c r="R11" s="4" t="str">
        <f aca="false">IF(F11&gt;=$T$2,"High ESG","Low ESG")</f>
        <v>High ESG</v>
      </c>
    </row>
    <row r="12" customFormat="false" ht="15" hidden="false" customHeight="true" outlineLevel="0" collapsed="false">
      <c r="A12" s="4" t="n">
        <v>11</v>
      </c>
      <c r="B12" s="4" t="s">
        <v>57</v>
      </c>
      <c r="C12" s="4" t="s">
        <v>58</v>
      </c>
      <c r="D12" s="4" t="s">
        <v>27</v>
      </c>
      <c r="E12" s="4" t="s">
        <v>48</v>
      </c>
      <c r="F12" s="4" t="n">
        <v>72</v>
      </c>
      <c r="G12" s="4" t="n">
        <v>133381</v>
      </c>
      <c r="H12" s="4" t="n">
        <v>26.4</v>
      </c>
      <c r="I12" s="4" t="n">
        <v>34.2</v>
      </c>
      <c r="J12" s="4" t="n">
        <v>68.6</v>
      </c>
      <c r="K12" s="4" t="n">
        <v>13.1</v>
      </c>
      <c r="L12" s="4" t="n">
        <v>-2</v>
      </c>
      <c r="M12" s="4" t="n">
        <v>15</v>
      </c>
      <c r="N12" s="4" t="n">
        <v>18</v>
      </c>
      <c r="O12" s="4" t="n">
        <v>22</v>
      </c>
      <c r="P12" s="4" t="s">
        <v>23</v>
      </c>
      <c r="Q12" s="4" t="s">
        <v>59</v>
      </c>
      <c r="R12" s="4" t="str">
        <f aca="false">IF(F12&gt;=$T$2,"High ESG","Low ESG")</f>
        <v>High ESG</v>
      </c>
    </row>
    <row r="13" customFormat="false" ht="15" hidden="false" customHeight="true" outlineLevel="0" collapsed="false">
      <c r="A13" s="4" t="n">
        <v>12</v>
      </c>
      <c r="B13" s="4" t="s">
        <v>60</v>
      </c>
      <c r="C13" s="4" t="s">
        <v>61</v>
      </c>
      <c r="D13" s="4" t="s">
        <v>31</v>
      </c>
      <c r="E13" s="4" t="s">
        <v>48</v>
      </c>
      <c r="F13" s="4" t="n">
        <v>72</v>
      </c>
      <c r="G13" s="4" t="n">
        <v>111197</v>
      </c>
      <c r="H13" s="4" t="n">
        <v>8.5</v>
      </c>
      <c r="I13" s="4" t="n">
        <v>68</v>
      </c>
      <c r="J13" s="4" t="n">
        <v>33.5</v>
      </c>
      <c r="K13" s="4" t="n">
        <v>25.3</v>
      </c>
      <c r="L13" s="4" t="n">
        <v>18</v>
      </c>
      <c r="M13" s="4" t="n">
        <v>12</v>
      </c>
      <c r="N13" s="4" t="n">
        <v>24</v>
      </c>
      <c r="O13" s="4" t="n">
        <v>18</v>
      </c>
      <c r="P13" s="4" t="s">
        <v>23</v>
      </c>
      <c r="Q13" s="4" t="s">
        <v>62</v>
      </c>
      <c r="R13" s="4" t="str">
        <f aca="false">IF(F13&gt;=$T$2,"High ESG","Low ESG")</f>
        <v>High ESG</v>
      </c>
    </row>
    <row r="14" customFormat="false" ht="15" hidden="false" customHeight="true" outlineLevel="0" collapsed="false">
      <c r="A14" s="4" t="n">
        <v>13</v>
      </c>
      <c r="B14" s="4" t="s">
        <v>63</v>
      </c>
      <c r="C14" s="4" t="s">
        <v>64</v>
      </c>
      <c r="D14" s="4" t="s">
        <v>41</v>
      </c>
      <c r="E14" s="4" t="s">
        <v>48</v>
      </c>
      <c r="F14" s="4" t="n">
        <v>71</v>
      </c>
      <c r="G14" s="4" t="n">
        <v>144830</v>
      </c>
      <c r="H14" s="4" t="n">
        <v>12.4</v>
      </c>
      <c r="I14" s="4" t="n">
        <v>16.5</v>
      </c>
      <c r="J14" s="4" t="n">
        <v>46.4</v>
      </c>
      <c r="K14" s="4" t="n">
        <v>18.2</v>
      </c>
      <c r="L14" s="4" t="n">
        <v>75</v>
      </c>
      <c r="M14" s="4" t="n">
        <v>45</v>
      </c>
      <c r="N14" s="4" t="n">
        <v>28</v>
      </c>
      <c r="O14" s="4" t="n">
        <v>14</v>
      </c>
      <c r="P14" s="4" t="s">
        <v>23</v>
      </c>
      <c r="Q14" s="4" t="s">
        <v>65</v>
      </c>
      <c r="R14" s="4" t="str">
        <f aca="false">IF(F14&gt;=$T$2,"High ESG","Low ESG")</f>
        <v>High ESG</v>
      </c>
    </row>
    <row r="15" customFormat="false" ht="15" hidden="false" customHeight="true" outlineLevel="0" collapsed="false">
      <c r="A15" s="4" t="n">
        <v>14</v>
      </c>
      <c r="B15" s="4" t="s">
        <v>66</v>
      </c>
      <c r="C15" s="4" t="s">
        <v>67</v>
      </c>
      <c r="D15" s="4" t="s">
        <v>31</v>
      </c>
      <c r="E15" s="4" t="s">
        <v>48</v>
      </c>
      <c r="F15" s="4" t="n">
        <v>71</v>
      </c>
      <c r="G15" s="4" t="n">
        <v>104292</v>
      </c>
      <c r="H15" s="4" t="n">
        <v>19.4</v>
      </c>
      <c r="I15" s="4" t="n">
        <v>54.2</v>
      </c>
      <c r="J15" s="4" t="n">
        <v>63.2</v>
      </c>
      <c r="K15" s="4" t="n">
        <v>23.5</v>
      </c>
      <c r="L15" s="4" t="n">
        <v>15</v>
      </c>
      <c r="M15" s="4" t="n">
        <v>10</v>
      </c>
      <c r="N15" s="4" t="n">
        <v>12</v>
      </c>
      <c r="O15" s="4" t="n">
        <v>15</v>
      </c>
      <c r="P15" s="4" t="s">
        <v>23</v>
      </c>
      <c r="Q15" s="4" t="s">
        <v>68</v>
      </c>
      <c r="R15" s="4" t="str">
        <f aca="false">IF(F15&gt;=$T$2,"High ESG","Low ESG")</f>
        <v>High ESG</v>
      </c>
    </row>
    <row r="16" customFormat="false" ht="15" hidden="false" customHeight="true" outlineLevel="0" collapsed="false">
      <c r="A16" s="4" t="n">
        <v>15</v>
      </c>
      <c r="B16" s="4" t="s">
        <v>69</v>
      </c>
      <c r="C16" s="4" t="s">
        <v>70</v>
      </c>
      <c r="D16" s="4" t="s">
        <v>71</v>
      </c>
      <c r="E16" s="4" t="s">
        <v>48</v>
      </c>
      <c r="F16" s="4" t="n">
        <v>70</v>
      </c>
      <c r="G16" s="4" t="n">
        <v>119528</v>
      </c>
      <c r="H16" s="4" t="n">
        <v>15.4</v>
      </c>
      <c r="I16" s="4" t="n">
        <v>65.4</v>
      </c>
      <c r="J16" s="4" t="n">
        <v>75</v>
      </c>
      <c r="K16" s="4" t="n">
        <v>10.4</v>
      </c>
      <c r="L16" s="4" t="n">
        <v>45</v>
      </c>
      <c r="M16" s="4" t="n">
        <v>32</v>
      </c>
      <c r="N16" s="4" t="n">
        <v>28</v>
      </c>
      <c r="O16" s="4" t="n">
        <v>20</v>
      </c>
      <c r="P16" s="4" t="s">
        <v>23</v>
      </c>
      <c r="Q16" s="4" t="s">
        <v>72</v>
      </c>
      <c r="R16" s="4" t="str">
        <f aca="false">IF(F16&gt;=$T$2,"High ESG","Low ESG")</f>
        <v>High ESG</v>
      </c>
    </row>
    <row r="17" customFormat="false" ht="15" hidden="false" customHeight="true" outlineLevel="0" collapsed="false">
      <c r="A17" s="4" t="n">
        <v>16</v>
      </c>
      <c r="B17" s="4" t="s">
        <v>73</v>
      </c>
      <c r="C17" s="4" t="s">
        <v>74</v>
      </c>
      <c r="D17" s="4" t="s">
        <v>31</v>
      </c>
      <c r="E17" s="4" t="s">
        <v>48</v>
      </c>
      <c r="F17" s="4" t="n">
        <v>70</v>
      </c>
      <c r="G17" s="4" t="n">
        <v>104598</v>
      </c>
      <c r="H17" s="4" t="n">
        <v>35.2</v>
      </c>
      <c r="I17" s="4" t="n">
        <v>48.3</v>
      </c>
      <c r="J17" s="4" t="n">
        <v>59.4</v>
      </c>
      <c r="K17" s="4" t="n">
        <v>25.1</v>
      </c>
      <c r="L17" s="4" t="n">
        <v>5</v>
      </c>
      <c r="M17" s="4" t="n">
        <v>7</v>
      </c>
      <c r="N17" s="4" t="n">
        <v>9</v>
      </c>
      <c r="O17" s="4" t="n">
        <v>13</v>
      </c>
      <c r="P17" s="4" t="s">
        <v>23</v>
      </c>
      <c r="Q17" s="4" t="s">
        <v>75</v>
      </c>
      <c r="R17" s="4" t="str">
        <f aca="false">IF(F17&gt;=$T$2,"High ESG","Low ESG")</f>
        <v>High ESG</v>
      </c>
    </row>
    <row r="18" customFormat="false" ht="15" hidden="false" customHeight="true" outlineLevel="0" collapsed="false">
      <c r="A18" s="4" t="n">
        <v>17</v>
      </c>
      <c r="B18" s="4" t="s">
        <v>76</v>
      </c>
      <c r="C18" s="4" t="s">
        <v>77</v>
      </c>
      <c r="D18" s="4" t="s">
        <v>78</v>
      </c>
      <c r="E18" s="4" t="s">
        <v>79</v>
      </c>
      <c r="F18" s="4" t="n">
        <v>69</v>
      </c>
      <c r="G18" s="4" t="n">
        <v>578632</v>
      </c>
      <c r="H18" s="4" t="n">
        <v>14.1</v>
      </c>
      <c r="I18" s="4" t="n">
        <v>34.2</v>
      </c>
      <c r="J18" s="4" t="n">
        <v>0</v>
      </c>
      <c r="K18" s="4" t="n">
        <v>25.1</v>
      </c>
      <c r="L18" s="4" t="n">
        <v>28</v>
      </c>
      <c r="M18" s="4" t="n">
        <v>22</v>
      </c>
      <c r="N18" s="4" t="n">
        <v>15</v>
      </c>
      <c r="O18" s="4" t="n">
        <v>11</v>
      </c>
      <c r="P18" s="4" t="s">
        <v>23</v>
      </c>
      <c r="Q18" s="4" t="s">
        <v>80</v>
      </c>
      <c r="R18" s="4" t="str">
        <f aca="false">IF(F18&gt;=$T$2,"High ESG","Low ESG")</f>
        <v>High ESG</v>
      </c>
    </row>
    <row r="19" customFormat="false" ht="15" hidden="false" customHeight="true" outlineLevel="0" collapsed="false">
      <c r="A19" s="4" t="n">
        <v>18</v>
      </c>
      <c r="B19" s="4" t="s">
        <v>81</v>
      </c>
      <c r="C19" s="4" t="s">
        <v>82</v>
      </c>
      <c r="D19" s="4" t="s">
        <v>31</v>
      </c>
      <c r="E19" s="4" t="s">
        <v>79</v>
      </c>
      <c r="F19" s="4" t="n">
        <v>69</v>
      </c>
      <c r="G19" s="4" t="n">
        <v>270572</v>
      </c>
      <c r="H19" s="4" t="n">
        <v>84.1</v>
      </c>
      <c r="I19" s="4" t="n">
        <v>75.4</v>
      </c>
      <c r="J19" s="4" t="n">
        <v>62.8</v>
      </c>
      <c r="K19" s="4" t="n">
        <v>12.1</v>
      </c>
      <c r="L19" s="4" t="n">
        <v>8</v>
      </c>
      <c r="M19" s="4" t="n">
        <v>14</v>
      </c>
      <c r="N19" s="4" t="n">
        <v>15</v>
      </c>
      <c r="O19" s="4" t="n">
        <v>19</v>
      </c>
      <c r="P19" s="4" t="s">
        <v>23</v>
      </c>
      <c r="Q19" s="4" t="s">
        <v>83</v>
      </c>
      <c r="R19" s="4" t="str">
        <f aca="false">IF(F19&gt;=$T$2,"High ESG","Low ESG")</f>
        <v>High ESG</v>
      </c>
    </row>
    <row r="20" customFormat="false" ht="15" hidden="false" customHeight="true" outlineLevel="0" collapsed="false">
      <c r="A20" s="4" t="n">
        <v>19</v>
      </c>
      <c r="B20" s="4" t="s">
        <v>84</v>
      </c>
      <c r="C20" s="4" t="s">
        <v>85</v>
      </c>
      <c r="D20" s="4" t="s">
        <v>71</v>
      </c>
      <c r="E20" s="4" t="s">
        <v>79</v>
      </c>
      <c r="F20" s="4" t="n">
        <v>69</v>
      </c>
      <c r="G20" s="4" t="n">
        <v>33302</v>
      </c>
      <c r="H20" s="4" t="n">
        <v>15.4</v>
      </c>
      <c r="I20" s="4" t="n">
        <v>62.4</v>
      </c>
      <c r="J20" s="4" t="n">
        <v>75</v>
      </c>
      <c r="K20" s="4" t="n">
        <v>6.2</v>
      </c>
      <c r="L20" s="4" t="n">
        <v>-5</v>
      </c>
      <c r="M20" s="4" t="n">
        <v>2</v>
      </c>
      <c r="N20" s="4" t="n">
        <v>8</v>
      </c>
      <c r="O20" s="4" t="n">
        <v>16</v>
      </c>
      <c r="P20" s="4" t="s">
        <v>23</v>
      </c>
      <c r="Q20" s="4" t="s">
        <v>86</v>
      </c>
      <c r="R20" s="4" t="str">
        <f aca="false">IF(F20&gt;=$T$2,"High ESG","Low ESG")</f>
        <v>High ESG</v>
      </c>
    </row>
    <row r="21" customFormat="false" ht="15" hidden="false" customHeight="true" outlineLevel="0" collapsed="false">
      <c r="A21" s="4" t="n">
        <v>20</v>
      </c>
      <c r="B21" s="4" t="s">
        <v>87</v>
      </c>
      <c r="C21" s="4" t="s">
        <v>88</v>
      </c>
      <c r="D21" s="4" t="s">
        <v>89</v>
      </c>
      <c r="E21" s="4" t="s">
        <v>79</v>
      </c>
      <c r="F21" s="4" t="n">
        <v>68</v>
      </c>
      <c r="G21" s="4" t="n">
        <v>1534447</v>
      </c>
      <c r="H21" s="4" t="n">
        <v>15.42</v>
      </c>
      <c r="I21" s="4" t="n">
        <v>15.98</v>
      </c>
      <c r="J21" s="4" t="n">
        <v>0</v>
      </c>
      <c r="K21" s="4" t="n">
        <v>47.2</v>
      </c>
      <c r="L21" s="4" t="n">
        <v>-17</v>
      </c>
      <c r="M21" s="4" t="n">
        <v>-1</v>
      </c>
      <c r="N21" s="4" t="n">
        <v>3</v>
      </c>
      <c r="O21" s="4" t="n">
        <v>12</v>
      </c>
      <c r="P21" s="4" t="s">
        <v>23</v>
      </c>
      <c r="Q21" s="4" t="s">
        <v>90</v>
      </c>
      <c r="R21" s="4" t="str">
        <f aca="false">IF(F21&gt;=$T$2,"High ESG","Low ESG")</f>
        <v>High ESG</v>
      </c>
    </row>
    <row r="22" customFormat="false" ht="15" hidden="false" customHeight="true" outlineLevel="0" collapsed="false">
      <c r="A22" s="4" t="n">
        <v>21</v>
      </c>
      <c r="B22" s="4" t="s">
        <v>91</v>
      </c>
      <c r="C22" s="4" t="s">
        <v>92</v>
      </c>
      <c r="D22" s="4" t="s">
        <v>93</v>
      </c>
      <c r="E22" s="4" t="s">
        <v>79</v>
      </c>
      <c r="F22" s="4" t="n">
        <v>68</v>
      </c>
      <c r="G22" s="4" t="n">
        <v>504384</v>
      </c>
      <c r="H22" s="4" t="n">
        <v>13.5</v>
      </c>
      <c r="I22" s="4" t="n">
        <v>18.2</v>
      </c>
      <c r="J22" s="4" t="n">
        <v>0</v>
      </c>
      <c r="K22" s="4" t="n">
        <v>68.2</v>
      </c>
      <c r="L22" s="4" t="n">
        <v>-5</v>
      </c>
      <c r="M22" s="4" t="n">
        <v>3</v>
      </c>
      <c r="N22" s="4" t="n">
        <v>8</v>
      </c>
      <c r="O22" s="4" t="n">
        <v>11</v>
      </c>
      <c r="P22" s="4" t="s">
        <v>23</v>
      </c>
      <c r="Q22" s="4" t="s">
        <v>94</v>
      </c>
      <c r="R22" s="4" t="str">
        <f aca="false">IF(F22&gt;=$T$2,"High ESG","Low ESG")</f>
        <v>High ESG</v>
      </c>
    </row>
    <row r="23" customFormat="false" ht="15" hidden="false" customHeight="true" outlineLevel="0" collapsed="false">
      <c r="A23" s="4" t="n">
        <v>22</v>
      </c>
      <c r="B23" s="4" t="s">
        <v>95</v>
      </c>
      <c r="C23" s="4" t="s">
        <v>96</v>
      </c>
      <c r="D23" s="4" t="s">
        <v>31</v>
      </c>
      <c r="E23" s="4" t="s">
        <v>79</v>
      </c>
      <c r="F23" s="4" t="n">
        <v>68</v>
      </c>
      <c r="G23" s="4" t="n">
        <v>262466</v>
      </c>
      <c r="H23" s="4" t="n">
        <v>27.5</v>
      </c>
      <c r="I23" s="4" t="n">
        <v>52.4</v>
      </c>
      <c r="J23" s="4" t="n">
        <v>52.6</v>
      </c>
      <c r="K23" s="4" t="n">
        <v>17.5</v>
      </c>
      <c r="L23" s="4" t="n">
        <v>-8</v>
      </c>
      <c r="M23" s="4" t="n">
        <v>5</v>
      </c>
      <c r="N23" s="4" t="n">
        <v>12</v>
      </c>
      <c r="O23" s="4" t="n">
        <v>16</v>
      </c>
      <c r="P23" s="4" t="s">
        <v>23</v>
      </c>
      <c r="Q23" s="4" t="s">
        <v>97</v>
      </c>
      <c r="R23" s="4" t="str">
        <f aca="false">IF(F23&gt;=$T$2,"High ESG","Low ESG")</f>
        <v>High ESG</v>
      </c>
    </row>
    <row r="24" customFormat="false" ht="15" hidden="false" customHeight="true" outlineLevel="0" collapsed="false">
      <c r="A24" s="4" t="n">
        <v>23</v>
      </c>
      <c r="B24" s="4" t="s">
        <v>98</v>
      </c>
      <c r="C24" s="4" t="s">
        <v>99</v>
      </c>
      <c r="D24" s="4" t="s">
        <v>21</v>
      </c>
      <c r="E24" s="4" t="s">
        <v>79</v>
      </c>
      <c r="F24" s="4" t="n">
        <v>68</v>
      </c>
      <c r="G24" s="4" t="n">
        <v>105907</v>
      </c>
      <c r="H24" s="4" t="n">
        <v>18.4</v>
      </c>
      <c r="I24" s="4" t="n">
        <v>17.8</v>
      </c>
      <c r="J24" s="4" t="n">
        <v>26.7</v>
      </c>
      <c r="K24" s="4" t="n">
        <v>27.2</v>
      </c>
      <c r="L24" s="4" t="n">
        <v>12</v>
      </c>
      <c r="M24" s="4" t="n">
        <v>14</v>
      </c>
      <c r="N24" s="4" t="n">
        <v>11</v>
      </c>
      <c r="O24" s="4" t="n">
        <v>10</v>
      </c>
      <c r="P24" s="4" t="s">
        <v>23</v>
      </c>
      <c r="Q24" s="4" t="s">
        <v>100</v>
      </c>
      <c r="R24" s="4" t="str">
        <f aca="false">IF(F24&gt;=$T$2,"High ESG","Low ESG")</f>
        <v>High ESG</v>
      </c>
    </row>
    <row r="25" customFormat="false" ht="15" hidden="false" customHeight="true" outlineLevel="0" collapsed="false">
      <c r="A25" s="4" t="n">
        <v>24</v>
      </c>
      <c r="B25" s="4" t="s">
        <v>101</v>
      </c>
      <c r="C25" s="4" t="s">
        <v>102</v>
      </c>
      <c r="D25" s="4" t="s">
        <v>31</v>
      </c>
      <c r="E25" s="4" t="s">
        <v>79</v>
      </c>
      <c r="F25" s="4" t="n">
        <v>68</v>
      </c>
      <c r="G25" s="4" t="n">
        <v>76059</v>
      </c>
      <c r="H25" s="4" t="n">
        <v>21.2</v>
      </c>
      <c r="I25" s="4" t="n">
        <v>44.5</v>
      </c>
      <c r="J25" s="4" t="n">
        <v>66.2</v>
      </c>
      <c r="K25" s="4" t="n">
        <v>19.5</v>
      </c>
      <c r="L25" s="4" t="n">
        <v>2</v>
      </c>
      <c r="M25" s="4" t="n">
        <v>4</v>
      </c>
      <c r="N25" s="4" t="n">
        <v>8</v>
      </c>
      <c r="O25" s="4" t="n">
        <v>12</v>
      </c>
      <c r="P25" s="4" t="s">
        <v>23</v>
      </c>
      <c r="Q25" s="4" t="s">
        <v>103</v>
      </c>
      <c r="R25" s="4" t="str">
        <f aca="false">IF(F25&gt;=$T$2,"High ESG","Low ESG")</f>
        <v>High ESG</v>
      </c>
    </row>
    <row r="26" customFormat="false" ht="15" hidden="false" customHeight="true" outlineLevel="0" collapsed="false">
      <c r="A26" s="4" t="n">
        <v>25</v>
      </c>
      <c r="B26" s="4" t="s">
        <v>104</v>
      </c>
      <c r="C26" s="4" t="s">
        <v>105</v>
      </c>
      <c r="D26" s="4" t="s">
        <v>89</v>
      </c>
      <c r="E26" s="4" t="s">
        <v>79</v>
      </c>
      <c r="F26" s="4" t="n">
        <v>67</v>
      </c>
      <c r="G26" s="4" t="n">
        <v>1012624</v>
      </c>
      <c r="H26" s="4" t="n">
        <v>17.43</v>
      </c>
      <c r="I26" s="4" t="n">
        <v>17.61</v>
      </c>
      <c r="J26" s="4" t="n">
        <v>0</v>
      </c>
      <c r="K26" s="4" t="n">
        <v>45.1</v>
      </c>
      <c r="L26" s="4" t="n">
        <v>14</v>
      </c>
      <c r="M26" s="4" t="n">
        <v>18</v>
      </c>
      <c r="N26" s="4" t="n">
        <v>20</v>
      </c>
      <c r="O26" s="4" t="n">
        <v>19</v>
      </c>
      <c r="P26" s="4" t="s">
        <v>23</v>
      </c>
      <c r="Q26" s="4" t="s">
        <v>106</v>
      </c>
      <c r="R26" s="4" t="str">
        <f aca="false">IF(F26&gt;=$T$2,"High ESG","Low ESG")</f>
        <v>High ESG</v>
      </c>
    </row>
    <row r="27" customFormat="false" ht="15" hidden="false" customHeight="true" outlineLevel="0" collapsed="false">
      <c r="A27" s="4" t="n">
        <v>26</v>
      </c>
      <c r="B27" s="4" t="s">
        <v>107</v>
      </c>
      <c r="C27" s="4" t="s">
        <v>108</v>
      </c>
      <c r="D27" s="4" t="s">
        <v>55</v>
      </c>
      <c r="E27" s="4" t="s">
        <v>79</v>
      </c>
      <c r="F27" s="4" t="n">
        <v>67</v>
      </c>
      <c r="G27" s="4" t="n">
        <v>238667</v>
      </c>
      <c r="H27" s="4" t="n">
        <v>32.4</v>
      </c>
      <c r="I27" s="4" t="n">
        <v>18.5</v>
      </c>
      <c r="J27" s="4" t="n">
        <v>64.9</v>
      </c>
      <c r="K27" s="4" t="n">
        <v>0.8</v>
      </c>
      <c r="L27" s="4" t="n">
        <v>5</v>
      </c>
      <c r="M27" s="4" t="n">
        <v>4</v>
      </c>
      <c r="N27" s="4" t="n">
        <v>6</v>
      </c>
      <c r="O27" s="4" t="n">
        <v>9</v>
      </c>
      <c r="P27" s="4" t="s">
        <v>23</v>
      </c>
      <c r="Q27" s="4" t="s">
        <v>109</v>
      </c>
      <c r="R27" s="4" t="str">
        <f aca="false">IF(F27&gt;=$T$2,"High ESG","Low ESG")</f>
        <v>High ESG</v>
      </c>
    </row>
    <row r="28" customFormat="false" ht="15" hidden="false" customHeight="true" outlineLevel="0" collapsed="false">
      <c r="A28" s="4" t="n">
        <v>27</v>
      </c>
      <c r="B28" s="4" t="s">
        <v>110</v>
      </c>
      <c r="C28" s="4" t="s">
        <v>111</v>
      </c>
      <c r="D28" s="4" t="s">
        <v>71</v>
      </c>
      <c r="E28" s="4" t="s">
        <v>79</v>
      </c>
      <c r="F28" s="4" t="n">
        <v>67</v>
      </c>
      <c r="G28" s="4" t="n">
        <v>99695</v>
      </c>
      <c r="H28" s="4" t="n">
        <v>19.5</v>
      </c>
      <c r="I28" s="4" t="n">
        <v>85</v>
      </c>
      <c r="J28" s="4" t="n">
        <v>75</v>
      </c>
      <c r="K28" s="4" t="n">
        <v>8.4</v>
      </c>
      <c r="L28" s="4" t="n">
        <v>80</v>
      </c>
      <c r="M28" s="4" t="n">
        <v>45</v>
      </c>
      <c r="N28" s="4" t="n">
        <v>35</v>
      </c>
      <c r="O28" s="4" t="n">
        <v>22</v>
      </c>
      <c r="P28" s="4" t="s">
        <v>23</v>
      </c>
      <c r="Q28" s="4" t="s">
        <v>112</v>
      </c>
      <c r="R28" s="4" t="str">
        <f aca="false">IF(F28&gt;=$T$2,"High ESG","Low ESG")</f>
        <v>High ESG</v>
      </c>
    </row>
    <row r="29" customFormat="false" ht="15" hidden="false" customHeight="true" outlineLevel="0" collapsed="false">
      <c r="A29" s="4" t="n">
        <v>28</v>
      </c>
      <c r="B29" s="4" t="s">
        <v>113</v>
      </c>
      <c r="C29" s="4" t="s">
        <v>114</v>
      </c>
      <c r="D29" s="4" t="s">
        <v>31</v>
      </c>
      <c r="E29" s="4" t="s">
        <v>79</v>
      </c>
      <c r="F29" s="4" t="n">
        <v>67</v>
      </c>
      <c r="G29" s="4" t="n">
        <v>64490</v>
      </c>
      <c r="H29" s="4" t="n">
        <v>108</v>
      </c>
      <c r="I29" s="4" t="n">
        <v>41.98</v>
      </c>
      <c r="J29" s="4" t="n">
        <v>51</v>
      </c>
      <c r="K29" s="4" t="n">
        <v>21.5</v>
      </c>
      <c r="L29" s="4" t="n">
        <v>18</v>
      </c>
      <c r="M29" s="4" t="n">
        <v>15</v>
      </c>
      <c r="N29" s="4" t="n">
        <v>12</v>
      </c>
      <c r="O29" s="4" t="n">
        <v>16</v>
      </c>
      <c r="P29" s="4" t="s">
        <v>23</v>
      </c>
      <c r="Q29" s="4" t="s">
        <v>115</v>
      </c>
      <c r="R29" s="4" t="str">
        <f aca="false">IF(F29&gt;=$T$2,"High ESG","Low ESG")</f>
        <v>High ESG</v>
      </c>
    </row>
    <row r="30" customFormat="false" ht="15" hidden="false" customHeight="true" outlineLevel="0" collapsed="false">
      <c r="A30" s="4" t="n">
        <v>29</v>
      </c>
      <c r="B30" s="4" t="s">
        <v>116</v>
      </c>
      <c r="C30" s="4" t="s">
        <v>117</v>
      </c>
      <c r="D30" s="4" t="s">
        <v>55</v>
      </c>
      <c r="E30" s="4" t="s">
        <v>79</v>
      </c>
      <c r="F30" s="4" t="n">
        <v>66</v>
      </c>
      <c r="G30" s="4" t="n">
        <v>252534</v>
      </c>
      <c r="H30" s="4" t="n">
        <v>13.5</v>
      </c>
      <c r="I30" s="4" t="n">
        <v>18.4</v>
      </c>
      <c r="J30" s="4" t="n">
        <v>45.3</v>
      </c>
      <c r="K30" s="4" t="n">
        <v>25.1</v>
      </c>
      <c r="L30" s="4" t="n">
        <v>12</v>
      </c>
      <c r="M30" s="4" t="n">
        <v>16</v>
      </c>
      <c r="N30" s="4" t="n">
        <v>18</v>
      </c>
      <c r="O30" s="4" t="n">
        <v>11</v>
      </c>
      <c r="P30" s="4" t="s">
        <v>23</v>
      </c>
      <c r="Q30" s="4" t="s">
        <v>118</v>
      </c>
      <c r="R30" s="4" t="str">
        <f aca="false">IF(F30&gt;=$T$2,"High ESG","Low ESG")</f>
        <v>High ESG</v>
      </c>
    </row>
    <row r="31" customFormat="false" ht="15" hidden="false" customHeight="true" outlineLevel="0" collapsed="false">
      <c r="A31" s="4" t="n">
        <v>30</v>
      </c>
      <c r="B31" s="4" t="s">
        <v>119</v>
      </c>
      <c r="C31" s="4" t="s">
        <v>120</v>
      </c>
      <c r="D31" s="4" t="s">
        <v>121</v>
      </c>
      <c r="E31" s="4" t="s">
        <v>79</v>
      </c>
      <c r="F31" s="4" t="n">
        <v>66</v>
      </c>
      <c r="G31" s="4" t="n">
        <v>182489</v>
      </c>
      <c r="H31" s="4" t="n">
        <v>9.5</v>
      </c>
      <c r="I31" s="4" t="n">
        <v>28.5</v>
      </c>
      <c r="J31" s="4" t="n">
        <v>42.8</v>
      </c>
      <c r="K31" s="4" t="n">
        <v>12.4</v>
      </c>
      <c r="L31" s="4" t="n">
        <v>12</v>
      </c>
      <c r="M31" s="4" t="n">
        <v>14</v>
      </c>
      <c r="N31" s="4" t="n">
        <v>15</v>
      </c>
      <c r="O31" s="4" t="n">
        <v>12</v>
      </c>
      <c r="P31" s="4" t="s">
        <v>23</v>
      </c>
      <c r="Q31" s="4" t="s">
        <v>122</v>
      </c>
      <c r="R31" s="4" t="str">
        <f aca="false">IF(F31&gt;=$T$2,"High ESG","Low ESG")</f>
        <v>High ESG</v>
      </c>
    </row>
    <row r="32" customFormat="false" ht="15" hidden="false" customHeight="true" outlineLevel="0" collapsed="false">
      <c r="A32" s="4" t="n">
        <v>31</v>
      </c>
      <c r="B32" s="4" t="s">
        <v>123</v>
      </c>
      <c r="C32" s="4" t="s">
        <v>124</v>
      </c>
      <c r="D32" s="4" t="s">
        <v>125</v>
      </c>
      <c r="E32" s="4" t="s">
        <v>79</v>
      </c>
      <c r="F32" s="4" t="n">
        <v>66</v>
      </c>
      <c r="G32" s="4" t="n">
        <v>164078</v>
      </c>
      <c r="H32" s="4" t="n">
        <v>11.2</v>
      </c>
      <c r="I32" s="4" t="n">
        <v>145</v>
      </c>
      <c r="J32" s="4" t="n">
        <v>56.3</v>
      </c>
      <c r="K32" s="4" t="n">
        <v>15.4</v>
      </c>
      <c r="L32" s="4" t="n">
        <v>15</v>
      </c>
      <c r="M32" s="4" t="n">
        <v>22</v>
      </c>
      <c r="N32" s="4" t="n">
        <v>65</v>
      </c>
      <c r="O32" s="4" t="n">
        <v>45</v>
      </c>
      <c r="P32" s="4" t="s">
        <v>23</v>
      </c>
      <c r="Q32" s="4" t="s">
        <v>126</v>
      </c>
      <c r="R32" s="4" t="str">
        <f aca="false">IF(F32&gt;=$T$2,"High ESG","Low ESG")</f>
        <v>High ESG</v>
      </c>
    </row>
    <row r="33" customFormat="false" ht="15" hidden="false" customHeight="true" outlineLevel="0" collapsed="false">
      <c r="A33" s="4" t="n">
        <v>32</v>
      </c>
      <c r="B33" s="4" t="s">
        <v>127</v>
      </c>
      <c r="C33" s="4" t="s">
        <v>128</v>
      </c>
      <c r="D33" s="4" t="s">
        <v>41</v>
      </c>
      <c r="E33" s="4" t="s">
        <v>79</v>
      </c>
      <c r="F33" s="4" t="n">
        <v>66</v>
      </c>
      <c r="G33" s="4" t="n">
        <v>100487</v>
      </c>
      <c r="H33" s="4" t="n">
        <v>18.5</v>
      </c>
      <c r="I33" s="4" t="n">
        <v>22.4</v>
      </c>
      <c r="J33" s="4" t="n">
        <v>34.8</v>
      </c>
      <c r="K33" s="4" t="n">
        <v>27.5</v>
      </c>
      <c r="L33" s="4" t="n">
        <v>15</v>
      </c>
      <c r="M33" s="4" t="n">
        <v>5</v>
      </c>
      <c r="N33" s="4" t="n">
        <v>4</v>
      </c>
      <c r="O33" s="4" t="n">
        <v>8</v>
      </c>
      <c r="P33" s="4" t="s">
        <v>23</v>
      </c>
      <c r="Q33" s="4" t="s">
        <v>129</v>
      </c>
      <c r="R33" s="4" t="str">
        <f aca="false">IF(F33&gt;=$T$2,"High ESG","Low ESG")</f>
        <v>High ESG</v>
      </c>
    </row>
    <row r="34" customFormat="false" ht="15" hidden="false" customHeight="true" outlineLevel="0" collapsed="false">
      <c r="A34" s="4" t="n">
        <v>33</v>
      </c>
      <c r="B34" s="4" t="s">
        <v>130</v>
      </c>
      <c r="C34" s="4" t="s">
        <v>131</v>
      </c>
      <c r="D34" s="4" t="s">
        <v>31</v>
      </c>
      <c r="E34" s="4" t="s">
        <v>79</v>
      </c>
      <c r="F34" s="4" t="n">
        <v>66</v>
      </c>
      <c r="G34" s="4" t="n">
        <v>41917</v>
      </c>
      <c r="H34" s="4" t="n">
        <v>157.48</v>
      </c>
      <c r="I34" s="4" t="n">
        <v>34.2</v>
      </c>
      <c r="J34" s="4" t="n">
        <v>70.6</v>
      </c>
      <c r="K34" s="4" t="n">
        <v>2.5</v>
      </c>
      <c r="L34" s="4" t="n">
        <v>12</v>
      </c>
      <c r="M34" s="4" t="n">
        <v>8</v>
      </c>
      <c r="N34" s="4" t="n">
        <v>10</v>
      </c>
      <c r="O34" s="4" t="n">
        <v>14</v>
      </c>
      <c r="P34" s="4" t="s">
        <v>23</v>
      </c>
      <c r="Q34" s="4" t="s">
        <v>132</v>
      </c>
      <c r="R34" s="4" t="str">
        <f aca="false">IF(F34&gt;=$T$2,"High ESG","Low ESG")</f>
        <v>High ESG</v>
      </c>
    </row>
    <row r="35" customFormat="false" ht="15" hidden="false" customHeight="true" outlineLevel="0" collapsed="false">
      <c r="A35" s="4" t="n">
        <v>34</v>
      </c>
      <c r="B35" s="4" t="s">
        <v>133</v>
      </c>
      <c r="C35" s="4" t="s">
        <v>134</v>
      </c>
      <c r="D35" s="4" t="s">
        <v>31</v>
      </c>
      <c r="E35" s="4" t="s">
        <v>79</v>
      </c>
      <c r="F35" s="4" t="n">
        <v>65</v>
      </c>
      <c r="G35" s="4" t="n">
        <v>389232</v>
      </c>
      <c r="H35" s="4" t="n">
        <v>25.8</v>
      </c>
      <c r="I35" s="4" t="n">
        <v>75.4</v>
      </c>
      <c r="J35" s="4" t="n">
        <v>52.9</v>
      </c>
      <c r="K35" s="4" t="n">
        <v>18.4</v>
      </c>
      <c r="L35" s="4" t="n">
        <v>14</v>
      </c>
      <c r="M35" s="4" t="n">
        <v>22</v>
      </c>
      <c r="N35" s="4" t="n">
        <v>24</v>
      </c>
      <c r="O35" s="4" t="n">
        <v>28</v>
      </c>
      <c r="P35" s="4" t="s">
        <v>23</v>
      </c>
      <c r="Q35" s="4" t="s">
        <v>135</v>
      </c>
      <c r="R35" s="4" t="str">
        <f aca="false">IF(F35&gt;=$T$2,"High ESG","Low ESG")</f>
        <v>High ESG</v>
      </c>
    </row>
    <row r="36" customFormat="false" ht="15" hidden="false" customHeight="true" outlineLevel="0" collapsed="false">
      <c r="A36" s="4" t="n">
        <v>35</v>
      </c>
      <c r="B36" s="4" t="s">
        <v>136</v>
      </c>
      <c r="C36" s="4" t="s">
        <v>137</v>
      </c>
      <c r="D36" s="4" t="s">
        <v>89</v>
      </c>
      <c r="E36" s="4" t="s">
        <v>79</v>
      </c>
      <c r="F36" s="4" t="n">
        <v>65</v>
      </c>
      <c r="G36" s="4" t="n">
        <v>378467</v>
      </c>
      <c r="H36" s="4" t="n">
        <v>16.2</v>
      </c>
      <c r="I36" s="4" t="n">
        <v>14.1</v>
      </c>
      <c r="J36" s="4" t="n">
        <v>8.2</v>
      </c>
      <c r="K36" s="4" t="n">
        <v>48.5</v>
      </c>
      <c r="L36" s="4" t="n">
        <v>18</v>
      </c>
      <c r="M36" s="4" t="n">
        <v>22</v>
      </c>
      <c r="N36" s="4" t="n">
        <v>16</v>
      </c>
      <c r="O36" s="4" t="n">
        <v>14</v>
      </c>
      <c r="P36" s="4" t="s">
        <v>23</v>
      </c>
      <c r="Q36" s="4" t="s">
        <v>138</v>
      </c>
      <c r="R36" s="4" t="str">
        <f aca="false">IF(F36&gt;=$T$2,"High ESG","Low ESG")</f>
        <v>High ESG</v>
      </c>
    </row>
    <row r="37" customFormat="false" ht="15" hidden="false" customHeight="true" outlineLevel="0" collapsed="false">
      <c r="A37" s="4" t="n">
        <v>36</v>
      </c>
      <c r="B37" s="4" t="s">
        <v>139</v>
      </c>
      <c r="C37" s="4" t="s">
        <v>140</v>
      </c>
      <c r="D37" s="4" t="s">
        <v>41</v>
      </c>
      <c r="E37" s="4" t="s">
        <v>79</v>
      </c>
      <c r="F37" s="4" t="n">
        <v>65</v>
      </c>
      <c r="G37" s="4" t="n">
        <v>125725</v>
      </c>
      <c r="H37" s="4" t="n">
        <v>14.2</v>
      </c>
      <c r="I37" s="4" t="n">
        <v>35.8</v>
      </c>
      <c r="J37" s="4" t="n">
        <v>70.5</v>
      </c>
      <c r="K37" s="4" t="n">
        <v>8.1</v>
      </c>
      <c r="L37" s="4" t="n">
        <v>18</v>
      </c>
      <c r="M37" s="4" t="n">
        <v>15</v>
      </c>
      <c r="N37" s="4" t="n">
        <v>10</v>
      </c>
      <c r="O37" s="4" t="n">
        <v>9</v>
      </c>
      <c r="P37" s="4" t="s">
        <v>23</v>
      </c>
      <c r="Q37" s="4" t="s">
        <v>141</v>
      </c>
      <c r="R37" s="4" t="str">
        <f aca="false">IF(F37&gt;=$T$2,"High ESG","Low ESG")</f>
        <v>High ESG</v>
      </c>
    </row>
    <row r="38" customFormat="false" ht="15" hidden="false" customHeight="true" outlineLevel="0" collapsed="false">
      <c r="A38" s="4" t="n">
        <v>37</v>
      </c>
      <c r="B38" s="4" t="s">
        <v>142</v>
      </c>
      <c r="C38" s="4" t="s">
        <v>143</v>
      </c>
      <c r="D38" s="4" t="s">
        <v>31</v>
      </c>
      <c r="E38" s="4" t="s">
        <v>79</v>
      </c>
      <c r="F38" s="4" t="n">
        <v>65</v>
      </c>
      <c r="G38" s="4" t="n">
        <v>17066</v>
      </c>
      <c r="H38" s="4" t="n">
        <v>13.2</v>
      </c>
      <c r="I38" s="4" t="n">
        <v>38.4</v>
      </c>
      <c r="J38" s="4" t="n">
        <v>75</v>
      </c>
      <c r="K38" s="4" t="n">
        <v>3.4</v>
      </c>
      <c r="L38" s="4" t="n">
        <v>-4</v>
      </c>
      <c r="M38" s="4" t="n">
        <v>-2</v>
      </c>
      <c r="N38" s="4" t="n">
        <v>5</v>
      </c>
      <c r="O38" s="4" t="n">
        <v>8</v>
      </c>
      <c r="P38" s="4" t="s">
        <v>23</v>
      </c>
      <c r="Q38" s="4" t="s">
        <v>144</v>
      </c>
      <c r="R38" s="4" t="str">
        <f aca="false">IF(F38&gt;=$T$2,"High ESG","Low ESG")</f>
        <v>High ESG</v>
      </c>
    </row>
    <row r="39" customFormat="false" ht="15" hidden="false" customHeight="true" outlineLevel="0" collapsed="false">
      <c r="A39" s="4" t="n">
        <v>38</v>
      </c>
      <c r="B39" s="4" t="s">
        <v>145</v>
      </c>
      <c r="C39" s="4" t="s">
        <v>146</v>
      </c>
      <c r="D39" s="4" t="s">
        <v>147</v>
      </c>
      <c r="E39" s="4" t="s">
        <v>148</v>
      </c>
      <c r="F39" s="4" t="n">
        <v>64</v>
      </c>
      <c r="G39" s="4" t="n">
        <v>1098646</v>
      </c>
      <c r="H39" s="4" t="n">
        <v>20.44</v>
      </c>
      <c r="I39" s="4" t="n">
        <v>39.22</v>
      </c>
      <c r="J39" s="4" t="n">
        <v>54.8</v>
      </c>
      <c r="K39" s="4" t="n">
        <v>24.3</v>
      </c>
      <c r="L39" s="4" t="n">
        <v>28</v>
      </c>
      <c r="M39" s="4" t="n">
        <v>22</v>
      </c>
      <c r="N39" s="4" t="n">
        <v>25</v>
      </c>
      <c r="O39" s="4" t="n">
        <v>18</v>
      </c>
      <c r="P39" s="4" t="s">
        <v>23</v>
      </c>
      <c r="Q39" s="4" t="s">
        <v>149</v>
      </c>
      <c r="R39" s="4" t="str">
        <f aca="false">IF(F39&gt;=$T$2,"High ESG","Low ESG")</f>
        <v>High ESG</v>
      </c>
    </row>
    <row r="40" customFormat="false" ht="15" hidden="false" customHeight="true" outlineLevel="0" collapsed="false">
      <c r="A40" s="4" t="n">
        <v>39</v>
      </c>
      <c r="B40" s="4" t="s">
        <v>150</v>
      </c>
      <c r="C40" s="4" t="s">
        <v>151</v>
      </c>
      <c r="D40" s="4" t="s">
        <v>89</v>
      </c>
      <c r="E40" s="4" t="s">
        <v>148</v>
      </c>
      <c r="F40" s="4" t="n">
        <v>64</v>
      </c>
      <c r="G40" s="4" t="n">
        <v>395119</v>
      </c>
      <c r="H40" s="4" t="n">
        <v>14.1</v>
      </c>
      <c r="I40" s="4" t="n">
        <v>18.2</v>
      </c>
      <c r="J40" s="4" t="n">
        <v>25.9</v>
      </c>
      <c r="K40" s="4" t="n">
        <v>38.5</v>
      </c>
      <c r="L40" s="4" t="n">
        <v>-8</v>
      </c>
      <c r="M40" s="4" t="n">
        <v>2</v>
      </c>
      <c r="N40" s="4" t="n">
        <v>8</v>
      </c>
      <c r="O40" s="4" t="n">
        <v>14</v>
      </c>
      <c r="P40" s="4" t="s">
        <v>23</v>
      </c>
      <c r="Q40" s="4" t="s">
        <v>152</v>
      </c>
      <c r="R40" s="4" t="str">
        <f aca="false">IF(F40&gt;=$T$2,"High ESG","Low ESG")</f>
        <v>High ESG</v>
      </c>
    </row>
    <row r="41" customFormat="false" ht="15" hidden="false" customHeight="true" outlineLevel="0" collapsed="false">
      <c r="A41" s="4" t="n">
        <v>40</v>
      </c>
      <c r="B41" s="4" t="s">
        <v>153</v>
      </c>
      <c r="C41" s="4" t="s">
        <v>154</v>
      </c>
      <c r="D41" s="4" t="s">
        <v>55</v>
      </c>
      <c r="E41" s="4" t="s">
        <v>148</v>
      </c>
      <c r="F41" s="4" t="n">
        <v>64</v>
      </c>
      <c r="G41" s="4" t="n">
        <v>226745</v>
      </c>
      <c r="H41" s="4" t="n">
        <v>12.8</v>
      </c>
      <c r="I41" s="4" t="n">
        <v>11.2</v>
      </c>
      <c r="J41" s="4" t="n">
        <v>34.6</v>
      </c>
      <c r="K41" s="4" t="n">
        <v>26.2</v>
      </c>
      <c r="L41" s="4" t="n">
        <v>8</v>
      </c>
      <c r="M41" s="4" t="n">
        <v>15</v>
      </c>
      <c r="N41" s="4" t="n">
        <v>19</v>
      </c>
      <c r="O41" s="4" t="n">
        <v>9</v>
      </c>
      <c r="P41" s="4" t="s">
        <v>23</v>
      </c>
      <c r="Q41" s="4" t="s">
        <v>155</v>
      </c>
      <c r="R41" s="4" t="str">
        <f aca="false">IF(F41&gt;=$T$2,"High ESG","Low ESG")</f>
        <v>High ESG</v>
      </c>
    </row>
    <row r="42" customFormat="false" ht="15" hidden="false" customHeight="true" outlineLevel="0" collapsed="false">
      <c r="A42" s="4" t="n">
        <v>41</v>
      </c>
      <c r="B42" s="4" t="s">
        <v>156</v>
      </c>
      <c r="C42" s="4" t="s">
        <v>157</v>
      </c>
      <c r="D42" s="4" t="s">
        <v>93</v>
      </c>
      <c r="E42" s="4" t="s">
        <v>148</v>
      </c>
      <c r="F42" s="4" t="n">
        <v>64</v>
      </c>
      <c r="G42" s="4" t="n">
        <v>167223</v>
      </c>
      <c r="H42" s="4" t="n">
        <v>12.2</v>
      </c>
      <c r="I42" s="4" t="n">
        <v>84.1</v>
      </c>
      <c r="J42" s="4" t="n">
        <v>50.4</v>
      </c>
      <c r="K42" s="4" t="n">
        <v>25.8</v>
      </c>
      <c r="L42" s="4" t="n">
        <v>-2</v>
      </c>
      <c r="M42" s="4" t="n">
        <v>4</v>
      </c>
      <c r="N42" s="4" t="n">
        <v>6</v>
      </c>
      <c r="O42" s="4" t="n">
        <v>8</v>
      </c>
      <c r="P42" s="4" t="s">
        <v>23</v>
      </c>
      <c r="Q42" s="4" t="s">
        <v>158</v>
      </c>
      <c r="R42" s="4" t="str">
        <f aca="false">IF(F42&gt;=$T$2,"High ESG","Low ESG")</f>
        <v>High ESG</v>
      </c>
    </row>
    <row r="43" customFormat="false" ht="15" hidden="false" customHeight="true" outlineLevel="0" collapsed="false">
      <c r="A43" s="4" t="n">
        <v>42</v>
      </c>
      <c r="B43" s="4" t="s">
        <v>159</v>
      </c>
      <c r="C43" s="4" t="s">
        <v>160</v>
      </c>
      <c r="D43" s="4" t="s">
        <v>93</v>
      </c>
      <c r="E43" s="4" t="s">
        <v>148</v>
      </c>
      <c r="F43" s="4" t="n">
        <v>64</v>
      </c>
      <c r="G43" s="4" t="n">
        <v>89766</v>
      </c>
      <c r="H43" s="4" t="n">
        <v>15.4</v>
      </c>
      <c r="I43" s="4" t="n">
        <v>42.1</v>
      </c>
      <c r="J43" s="4" t="n">
        <v>48</v>
      </c>
      <c r="K43" s="4" t="n">
        <v>24.5</v>
      </c>
      <c r="L43" s="4" t="n">
        <v>14</v>
      </c>
      <c r="M43" s="4" t="n">
        <v>8</v>
      </c>
      <c r="N43" s="4" t="n">
        <v>10</v>
      </c>
      <c r="O43" s="4" t="n">
        <v>12</v>
      </c>
      <c r="P43" s="4" t="s">
        <v>23</v>
      </c>
      <c r="Q43" s="4" t="s">
        <v>161</v>
      </c>
      <c r="R43" s="4" t="str">
        <f aca="false">IF(F43&gt;=$T$2,"High ESG","Low ESG")</f>
        <v>High ESG</v>
      </c>
    </row>
    <row r="44" customFormat="false" ht="15" hidden="false" customHeight="true" outlineLevel="0" collapsed="false">
      <c r="A44" s="4" t="n">
        <v>43</v>
      </c>
      <c r="B44" s="4" t="s">
        <v>162</v>
      </c>
      <c r="C44" s="4" t="s">
        <v>163</v>
      </c>
      <c r="D44" s="4" t="s">
        <v>21</v>
      </c>
      <c r="E44" s="4" t="s">
        <v>148</v>
      </c>
      <c r="F44" s="4" t="n">
        <v>64</v>
      </c>
      <c r="G44" s="4" t="n">
        <v>66724</v>
      </c>
      <c r="H44" s="4" t="n">
        <v>6.2</v>
      </c>
      <c r="I44" s="4" t="n">
        <v>38.5</v>
      </c>
      <c r="J44" s="4" t="n">
        <v>60.6</v>
      </c>
      <c r="K44" s="4" t="n">
        <v>15.4</v>
      </c>
      <c r="L44" s="4" t="n">
        <v>-5</v>
      </c>
      <c r="M44" s="4" t="n">
        <v>-8</v>
      </c>
      <c r="N44" s="4" t="n">
        <v>-2</v>
      </c>
      <c r="O44" s="4" t="n">
        <v>8</v>
      </c>
      <c r="P44" s="4" t="s">
        <v>23</v>
      </c>
      <c r="Q44" s="4" t="s">
        <v>164</v>
      </c>
      <c r="R44" s="4" t="str">
        <f aca="false">IF(F44&gt;=$T$2,"High ESG","Low ESG")</f>
        <v>High ESG</v>
      </c>
    </row>
    <row r="45" customFormat="false" ht="15" hidden="false" customHeight="true" outlineLevel="0" collapsed="false">
      <c r="A45" s="4" t="n">
        <v>44</v>
      </c>
      <c r="B45" s="4" t="s">
        <v>165</v>
      </c>
      <c r="C45" s="4" t="s">
        <v>166</v>
      </c>
      <c r="D45" s="4" t="s">
        <v>21</v>
      </c>
      <c r="E45" s="4" t="s">
        <v>148</v>
      </c>
      <c r="F45" s="4" t="n">
        <v>64</v>
      </c>
      <c r="G45" s="4" t="n">
        <v>22130</v>
      </c>
      <c r="H45" s="4" t="n">
        <v>16.8</v>
      </c>
      <c r="I45" s="4" t="n">
        <v>32.4</v>
      </c>
      <c r="J45" s="4" t="n">
        <v>63.9</v>
      </c>
      <c r="K45" s="4" t="n">
        <v>11.2</v>
      </c>
      <c r="L45" s="4" t="n">
        <v>5</v>
      </c>
      <c r="M45" s="4" t="n">
        <v>-2</v>
      </c>
      <c r="N45" s="4" t="n">
        <v>2</v>
      </c>
      <c r="O45" s="4" t="n">
        <v>11</v>
      </c>
      <c r="P45" s="4" t="s">
        <v>23</v>
      </c>
      <c r="Q45" s="4" t="s">
        <v>167</v>
      </c>
      <c r="R45" s="4" t="str">
        <f aca="false">IF(F45&gt;=$T$2,"High ESG","Low ESG")</f>
        <v>High ESG</v>
      </c>
    </row>
    <row r="46" customFormat="false" ht="15" hidden="false" customHeight="true" outlineLevel="0" collapsed="false">
      <c r="A46" s="4" t="n">
        <v>45</v>
      </c>
      <c r="B46" s="4" t="s">
        <v>168</v>
      </c>
      <c r="C46" s="4" t="s">
        <v>169</v>
      </c>
      <c r="D46" s="4" t="s">
        <v>121</v>
      </c>
      <c r="E46" s="4" t="s">
        <v>148</v>
      </c>
      <c r="F46" s="4" t="n">
        <v>63</v>
      </c>
      <c r="G46" s="4" t="n">
        <v>335031</v>
      </c>
      <c r="H46" s="4" t="n">
        <v>12.1</v>
      </c>
      <c r="I46" s="4" t="n">
        <v>42.1</v>
      </c>
      <c r="J46" s="4" t="n">
        <v>60</v>
      </c>
      <c r="K46" s="4" t="n">
        <v>15.8</v>
      </c>
      <c r="L46" s="4" t="n">
        <v>15</v>
      </c>
      <c r="M46" s="4" t="n">
        <v>10</v>
      </c>
      <c r="N46" s="4" t="n">
        <v>16</v>
      </c>
      <c r="O46" s="4" t="n">
        <v>14</v>
      </c>
      <c r="P46" s="4" t="s">
        <v>23</v>
      </c>
      <c r="Q46" s="4" t="s">
        <v>170</v>
      </c>
      <c r="R46" s="4" t="str">
        <f aca="false">IF(F46&gt;=$T$2,"High ESG","Low ESG")</f>
        <v>High ESG</v>
      </c>
    </row>
    <row r="47" customFormat="false" ht="15" hidden="false" customHeight="true" outlineLevel="0" collapsed="false">
      <c r="A47" s="4" t="n">
        <v>46</v>
      </c>
      <c r="B47" s="4" t="s">
        <v>171</v>
      </c>
      <c r="C47" s="4" t="s">
        <v>172</v>
      </c>
      <c r="D47" s="4" t="s">
        <v>41</v>
      </c>
      <c r="E47" s="4" t="s">
        <v>148</v>
      </c>
      <c r="F47" s="4" t="n">
        <v>63</v>
      </c>
      <c r="G47" s="4" t="n">
        <v>239695</v>
      </c>
      <c r="H47" s="4" t="n">
        <v>24.5</v>
      </c>
      <c r="I47" s="4" t="n">
        <v>28.2</v>
      </c>
      <c r="J47" s="4" t="n">
        <v>54.9</v>
      </c>
      <c r="K47" s="4" t="n">
        <v>12.4</v>
      </c>
      <c r="L47" s="4" t="n">
        <v>45</v>
      </c>
      <c r="M47" s="4" t="n">
        <v>25</v>
      </c>
      <c r="N47" s="4" t="n">
        <v>18</v>
      </c>
      <c r="O47" s="4" t="n">
        <v>14</v>
      </c>
      <c r="P47" s="4" t="s">
        <v>23</v>
      </c>
      <c r="Q47" s="4" t="s">
        <v>173</v>
      </c>
      <c r="R47" s="4" t="str">
        <f aca="false">IF(F47&gt;=$T$2,"High ESG","Low ESG")</f>
        <v>High ESG</v>
      </c>
    </row>
    <row r="48" customFormat="false" ht="15" hidden="false" customHeight="true" outlineLevel="0" collapsed="false">
      <c r="A48" s="4" t="n">
        <v>47</v>
      </c>
      <c r="B48" s="4" t="s">
        <v>174</v>
      </c>
      <c r="C48" s="4" t="s">
        <v>175</v>
      </c>
      <c r="D48" s="4" t="s">
        <v>31</v>
      </c>
      <c r="E48" s="4" t="s">
        <v>148</v>
      </c>
      <c r="F48" s="4" t="n">
        <v>63</v>
      </c>
      <c r="G48" s="4" t="n">
        <v>139314</v>
      </c>
      <c r="H48" s="4" t="n">
        <v>54.2</v>
      </c>
      <c r="I48" s="4" t="n">
        <v>52.4</v>
      </c>
      <c r="J48" s="4" t="n">
        <v>50.6</v>
      </c>
      <c r="K48" s="4" t="n">
        <v>18.2</v>
      </c>
      <c r="L48" s="4" t="n">
        <v>12</v>
      </c>
      <c r="M48" s="4" t="n">
        <v>10</v>
      </c>
      <c r="N48" s="4" t="n">
        <v>14</v>
      </c>
      <c r="O48" s="4" t="n">
        <v>18</v>
      </c>
      <c r="P48" s="4" t="s">
        <v>23</v>
      </c>
      <c r="Q48" s="4" t="s">
        <v>176</v>
      </c>
      <c r="R48" s="4" t="str">
        <f aca="false">IF(F48&gt;=$T$2,"High ESG","Low ESG")</f>
        <v>High ESG</v>
      </c>
    </row>
    <row r="49" customFormat="false" ht="15" hidden="false" customHeight="true" outlineLevel="0" collapsed="false">
      <c r="A49" s="4" t="n">
        <v>48</v>
      </c>
      <c r="B49" s="4" t="s">
        <v>177</v>
      </c>
      <c r="C49" s="4" t="s">
        <v>178</v>
      </c>
      <c r="D49" s="4" t="s">
        <v>93</v>
      </c>
      <c r="E49" s="4" t="s">
        <v>148</v>
      </c>
      <c r="F49" s="4" t="n">
        <v>63</v>
      </c>
      <c r="G49" s="4" t="n">
        <v>115091</v>
      </c>
      <c r="H49" s="4" t="n">
        <v>28.5</v>
      </c>
      <c r="I49" s="4" t="n">
        <v>35.2</v>
      </c>
      <c r="J49" s="4" t="n">
        <v>62.6</v>
      </c>
      <c r="K49" s="4" t="n">
        <v>14.5</v>
      </c>
      <c r="L49" s="4" t="n">
        <v>16</v>
      </c>
      <c r="M49" s="4" t="n">
        <v>8</v>
      </c>
      <c r="N49" s="4" t="n">
        <v>9</v>
      </c>
      <c r="O49" s="4" t="n">
        <v>11</v>
      </c>
      <c r="P49" s="4" t="s">
        <v>23</v>
      </c>
      <c r="Q49" s="4" t="s">
        <v>179</v>
      </c>
      <c r="R49" s="4" t="str">
        <f aca="false">IF(F49&gt;=$T$2,"High ESG","Low ESG")</f>
        <v>High ESG</v>
      </c>
    </row>
    <row r="50" customFormat="false" ht="15" hidden="false" customHeight="true" outlineLevel="0" collapsed="false">
      <c r="A50" s="4" t="n">
        <v>49</v>
      </c>
      <c r="B50" s="4" t="s">
        <v>180</v>
      </c>
      <c r="C50" s="4" t="s">
        <v>181</v>
      </c>
      <c r="D50" s="4" t="s">
        <v>27</v>
      </c>
      <c r="E50" s="4" t="s">
        <v>148</v>
      </c>
      <c r="F50" s="4" t="n">
        <v>63</v>
      </c>
      <c r="G50" s="4" t="n">
        <v>77180</v>
      </c>
      <c r="H50" s="4" t="n">
        <v>26.5</v>
      </c>
      <c r="I50" s="4" t="n">
        <v>24.1</v>
      </c>
      <c r="J50" s="4" t="n">
        <v>72.8</v>
      </c>
      <c r="K50" s="4" t="n">
        <v>10.4</v>
      </c>
      <c r="L50" s="4" t="n">
        <v>85</v>
      </c>
      <c r="M50" s="4" t="n">
        <v>20</v>
      </c>
      <c r="N50" s="4" t="n">
        <v>12</v>
      </c>
      <c r="O50" s="4" t="n">
        <v>11</v>
      </c>
      <c r="P50" s="4" t="s">
        <v>23</v>
      </c>
      <c r="Q50" s="4" t="s">
        <v>182</v>
      </c>
      <c r="R50" s="4" t="str">
        <f aca="false">IF(F50&gt;=$T$2,"High ESG","Low ESG")</f>
        <v>High ESG</v>
      </c>
    </row>
    <row r="51" customFormat="false" ht="15" hidden="false" customHeight="true" outlineLevel="0" collapsed="false">
      <c r="A51" s="4" t="n">
        <v>50</v>
      </c>
      <c r="B51" s="4" t="s">
        <v>183</v>
      </c>
      <c r="C51" s="4" t="s">
        <v>184</v>
      </c>
      <c r="D51" s="4" t="s">
        <v>89</v>
      </c>
      <c r="E51" s="4" t="s">
        <v>148</v>
      </c>
      <c r="F51" s="4" t="n">
        <v>63</v>
      </c>
      <c r="G51" s="4" t="n">
        <v>60590</v>
      </c>
      <c r="H51" s="4" t="n">
        <v>14.5</v>
      </c>
      <c r="I51" s="4" t="n">
        <v>13.2</v>
      </c>
      <c r="J51" s="4" t="n">
        <v>16.5</v>
      </c>
      <c r="K51" s="4" t="n">
        <v>38.4</v>
      </c>
      <c r="L51" s="4" t="n">
        <v>8</v>
      </c>
      <c r="M51" s="4" t="n">
        <v>15</v>
      </c>
      <c r="N51" s="4" t="n">
        <v>5</v>
      </c>
      <c r="O51" s="4" t="n">
        <v>6</v>
      </c>
      <c r="P51" s="4" t="s">
        <v>23</v>
      </c>
      <c r="Q51" s="4" t="s">
        <v>185</v>
      </c>
      <c r="R51" s="4" t="str">
        <f aca="false">IF(F51&gt;=$T$2,"High ESG","Low ESG")</f>
        <v>High ESG</v>
      </c>
    </row>
    <row r="52" customFormat="false" ht="15" hidden="false" customHeight="true" outlineLevel="0" collapsed="false">
      <c r="A52" s="4" t="n">
        <v>51</v>
      </c>
      <c r="B52" s="4" t="s">
        <v>186</v>
      </c>
      <c r="C52" s="4" t="s">
        <v>187</v>
      </c>
      <c r="D52" s="4" t="s">
        <v>31</v>
      </c>
      <c r="E52" s="4" t="s">
        <v>148</v>
      </c>
      <c r="F52" s="4" t="n">
        <v>63</v>
      </c>
      <c r="G52" s="4" t="n">
        <v>30234</v>
      </c>
      <c r="H52" s="4" t="n">
        <v>90.62</v>
      </c>
      <c r="I52" s="4" t="n">
        <v>39.19</v>
      </c>
      <c r="J52" s="4" t="n">
        <v>75</v>
      </c>
      <c r="K52" s="4" t="n">
        <v>1.5</v>
      </c>
      <c r="L52" s="4" t="n">
        <v>11</v>
      </c>
      <c r="M52" s="4" t="n">
        <v>8</v>
      </c>
      <c r="N52" s="4" t="n">
        <v>10</v>
      </c>
      <c r="O52" s="4" t="n">
        <v>12</v>
      </c>
      <c r="P52" s="4" t="s">
        <v>23</v>
      </c>
      <c r="Q52" s="4" t="s">
        <v>188</v>
      </c>
      <c r="R52" s="4" t="str">
        <f aca="false">IF(F52&gt;=$T$2,"High ESG","Low ESG")</f>
        <v>High ESG</v>
      </c>
    </row>
    <row r="53" customFormat="false" ht="15" hidden="false" customHeight="true" outlineLevel="0" collapsed="false">
      <c r="A53" s="4" t="n">
        <v>52</v>
      </c>
      <c r="B53" s="4" t="s">
        <v>189</v>
      </c>
      <c r="C53" s="4" t="s">
        <v>190</v>
      </c>
      <c r="D53" s="4" t="s">
        <v>93</v>
      </c>
      <c r="E53" s="4" t="s">
        <v>148</v>
      </c>
      <c r="F53" s="4" t="n">
        <v>62</v>
      </c>
      <c r="G53" s="4" t="n">
        <v>573430</v>
      </c>
      <c r="H53" s="4" t="n">
        <v>19.54</v>
      </c>
      <c r="I53" s="4" t="n">
        <v>31.04</v>
      </c>
      <c r="J53" s="4" t="n">
        <v>54.7</v>
      </c>
      <c r="K53" s="4" t="n">
        <v>20.1</v>
      </c>
      <c r="L53" s="4" t="n">
        <v>-2</v>
      </c>
      <c r="M53" s="4" t="n">
        <v>12</v>
      </c>
      <c r="N53" s="4" t="n">
        <v>18</v>
      </c>
      <c r="O53" s="4" t="n">
        <v>24</v>
      </c>
      <c r="P53" s="4" t="s">
        <v>23</v>
      </c>
      <c r="Q53" s="4" t="s">
        <v>191</v>
      </c>
      <c r="R53" s="4" t="str">
        <f aca="false">IF(F53&gt;=$T$2,"High ESG","Low ESG")</f>
        <v>Low ESG</v>
      </c>
    </row>
    <row r="54" customFormat="false" ht="15" hidden="false" customHeight="true" outlineLevel="0" collapsed="false">
      <c r="A54" s="4" t="n">
        <v>53</v>
      </c>
      <c r="B54" s="4" t="s">
        <v>192</v>
      </c>
      <c r="C54" s="4" t="s">
        <v>193</v>
      </c>
      <c r="D54" s="4" t="s">
        <v>41</v>
      </c>
      <c r="E54" s="4" t="s">
        <v>148</v>
      </c>
      <c r="F54" s="4" t="n">
        <v>62</v>
      </c>
      <c r="G54" s="4" t="n">
        <v>205983</v>
      </c>
      <c r="H54" s="4" t="n">
        <v>21.4</v>
      </c>
      <c r="I54" s="4" t="n">
        <v>28.2</v>
      </c>
      <c r="J54" s="4" t="n">
        <v>49.2</v>
      </c>
      <c r="K54" s="4" t="n">
        <v>29.1</v>
      </c>
      <c r="L54" s="4" t="n">
        <v>18</v>
      </c>
      <c r="M54" s="4" t="n">
        <v>16</v>
      </c>
      <c r="N54" s="4" t="n">
        <v>11</v>
      </c>
      <c r="O54" s="4" t="n">
        <v>18</v>
      </c>
      <c r="P54" s="4" t="s">
        <v>23</v>
      </c>
      <c r="Q54" s="4" t="s">
        <v>194</v>
      </c>
      <c r="R54" s="4" t="str">
        <f aca="false">IF(F54&gt;=$T$2,"High ESG","Low ESG")</f>
        <v>Low ESG</v>
      </c>
    </row>
    <row r="55" customFormat="false" ht="15" hidden="false" customHeight="true" outlineLevel="0" collapsed="false">
      <c r="A55" s="4" t="n">
        <v>54</v>
      </c>
      <c r="B55" s="4" t="s">
        <v>195</v>
      </c>
      <c r="C55" s="4" t="s">
        <v>196</v>
      </c>
      <c r="D55" s="4" t="s">
        <v>197</v>
      </c>
      <c r="E55" s="4" t="s">
        <v>148</v>
      </c>
      <c r="F55" s="4" t="n">
        <v>62</v>
      </c>
      <c r="G55" s="4" t="n">
        <v>148303</v>
      </c>
      <c r="H55" s="4" t="n">
        <v>20.5</v>
      </c>
      <c r="I55" s="4" t="n">
        <v>68.4</v>
      </c>
      <c r="J55" s="4" t="n">
        <v>69.8</v>
      </c>
      <c r="K55" s="4" t="n">
        <v>11.2</v>
      </c>
      <c r="L55" s="4" t="n">
        <v>8</v>
      </c>
      <c r="M55" s="4" t="n">
        <v>10</v>
      </c>
      <c r="N55" s="4" t="n">
        <v>15</v>
      </c>
      <c r="O55" s="4" t="n">
        <v>20</v>
      </c>
      <c r="P55" s="4" t="s">
        <v>23</v>
      </c>
      <c r="Q55" s="4" t="s">
        <v>198</v>
      </c>
      <c r="R55" s="4" t="str">
        <f aca="false">IF(F55&gt;=$T$2,"High ESG","Low ESG")</f>
        <v>Low ESG</v>
      </c>
    </row>
    <row r="56" customFormat="false" ht="15" hidden="false" customHeight="true" outlineLevel="0" collapsed="false">
      <c r="A56" s="4" t="n">
        <v>55</v>
      </c>
      <c r="B56" s="4" t="s">
        <v>199</v>
      </c>
      <c r="C56" s="4" t="s">
        <v>200</v>
      </c>
      <c r="D56" s="4" t="s">
        <v>93</v>
      </c>
      <c r="E56" s="4" t="s">
        <v>148</v>
      </c>
      <c r="F56" s="4" t="n">
        <v>62</v>
      </c>
      <c r="G56" s="4" t="n">
        <v>86496</v>
      </c>
      <c r="H56" s="4" t="n">
        <v>9.5</v>
      </c>
      <c r="I56" s="4" t="n">
        <v>82</v>
      </c>
      <c r="J56" s="4" t="n">
        <v>73.4</v>
      </c>
      <c r="K56" s="4" t="n">
        <v>15.2</v>
      </c>
      <c r="L56" s="4" t="n">
        <v>5</v>
      </c>
      <c r="M56" s="4" t="n">
        <v>-2</v>
      </c>
      <c r="N56" s="4" t="n">
        <v>-1</v>
      </c>
      <c r="O56" s="4" t="n">
        <v>4</v>
      </c>
      <c r="P56" s="4" t="s">
        <v>23</v>
      </c>
      <c r="Q56" s="4" t="s">
        <v>201</v>
      </c>
      <c r="R56" s="4" t="str">
        <f aca="false">IF(F56&gt;=$T$2,"High ESG","Low ESG")</f>
        <v>Low ESG</v>
      </c>
    </row>
    <row r="57" customFormat="false" ht="15" hidden="false" customHeight="true" outlineLevel="0" collapsed="false">
      <c r="A57" s="4" t="n">
        <v>56</v>
      </c>
      <c r="B57" s="4" t="s">
        <v>202</v>
      </c>
      <c r="C57" s="4" t="s">
        <v>203</v>
      </c>
      <c r="D57" s="4" t="s">
        <v>31</v>
      </c>
      <c r="E57" s="4" t="s">
        <v>148</v>
      </c>
      <c r="F57" s="4" t="n">
        <v>62</v>
      </c>
      <c r="G57" s="4" t="n">
        <v>74979</v>
      </c>
      <c r="H57" s="4" t="n">
        <v>19.5</v>
      </c>
      <c r="I57" s="4" t="n">
        <v>68.3</v>
      </c>
      <c r="J57" s="4" t="n">
        <v>59.4</v>
      </c>
      <c r="K57" s="4" t="n">
        <v>23.1</v>
      </c>
      <c r="L57" s="4" t="n">
        <v>12</v>
      </c>
      <c r="M57" s="4" t="n">
        <v>11</v>
      </c>
      <c r="N57" s="4" t="n">
        <v>18</v>
      </c>
      <c r="O57" s="4" t="n">
        <v>21</v>
      </c>
      <c r="P57" s="4" t="s">
        <v>23</v>
      </c>
      <c r="Q57" s="4" t="s">
        <v>204</v>
      </c>
      <c r="R57" s="4" t="str">
        <f aca="false">IF(F57&gt;=$T$2,"High ESG","Low ESG")</f>
        <v>Low ESG</v>
      </c>
    </row>
    <row r="58" customFormat="false" ht="15" hidden="false" customHeight="true" outlineLevel="0" collapsed="false">
      <c r="A58" s="4" t="n">
        <v>57</v>
      </c>
      <c r="B58" s="4" t="s">
        <v>205</v>
      </c>
      <c r="C58" s="4" t="s">
        <v>206</v>
      </c>
      <c r="D58" s="4" t="s">
        <v>207</v>
      </c>
      <c r="E58" s="4" t="s">
        <v>148</v>
      </c>
      <c r="F58" s="4" t="n">
        <v>62</v>
      </c>
      <c r="G58" s="4" t="n">
        <v>43020</v>
      </c>
      <c r="H58" s="4" t="n">
        <v>12.8</v>
      </c>
      <c r="I58" s="4" t="n">
        <v>14.5</v>
      </c>
      <c r="J58" s="4" t="n">
        <v>32.4</v>
      </c>
      <c r="K58" s="4" t="n">
        <v>35.2</v>
      </c>
      <c r="L58" s="4" t="n">
        <v>-18</v>
      </c>
      <c r="M58" s="4" t="n">
        <v>-10</v>
      </c>
      <c r="N58" s="4" t="n">
        <v>2</v>
      </c>
      <c r="O58" s="4" t="n">
        <v>9</v>
      </c>
      <c r="P58" s="4" t="s">
        <v>23</v>
      </c>
      <c r="Q58" s="4" t="s">
        <v>208</v>
      </c>
      <c r="R58" s="4" t="str">
        <f aca="false">IF(F58&gt;=$T$2,"High ESG","Low ESG")</f>
        <v>Low ESG</v>
      </c>
    </row>
    <row r="59" customFormat="false" ht="15" hidden="false" customHeight="true" outlineLevel="0" collapsed="false">
      <c r="A59" s="4" t="n">
        <v>58</v>
      </c>
      <c r="B59" s="4" t="s">
        <v>209</v>
      </c>
      <c r="C59" s="4" t="s">
        <v>210</v>
      </c>
      <c r="D59" s="4" t="s">
        <v>211</v>
      </c>
      <c r="E59" s="4" t="s">
        <v>148</v>
      </c>
      <c r="F59" s="4" t="n">
        <v>61</v>
      </c>
      <c r="G59" s="4" t="n">
        <v>421291</v>
      </c>
      <c r="H59" s="4" t="n">
        <v>15.1</v>
      </c>
      <c r="I59" s="4" t="n">
        <v>31.4</v>
      </c>
      <c r="J59" s="4" t="n">
        <v>65.5</v>
      </c>
      <c r="K59" s="4" t="n">
        <v>17.2</v>
      </c>
      <c r="L59" s="4" t="n">
        <v>38</v>
      </c>
      <c r="M59" s="4" t="n">
        <v>24</v>
      </c>
      <c r="N59" s="4" t="n">
        <v>21</v>
      </c>
      <c r="O59" s="4" t="n">
        <v>16</v>
      </c>
      <c r="P59" s="4" t="s">
        <v>23</v>
      </c>
      <c r="Q59" s="4" t="s">
        <v>212</v>
      </c>
      <c r="R59" s="4" t="str">
        <f aca="false">IF(F59&gt;=$T$2,"High ESG","Low ESG")</f>
        <v>Low ESG</v>
      </c>
    </row>
    <row r="60" customFormat="false" ht="15" hidden="false" customHeight="true" outlineLevel="0" collapsed="false">
      <c r="A60" s="4" t="n">
        <v>59</v>
      </c>
      <c r="B60" s="4" t="s">
        <v>213</v>
      </c>
      <c r="C60" s="4" t="s">
        <v>214</v>
      </c>
      <c r="D60" s="4" t="s">
        <v>93</v>
      </c>
      <c r="E60" s="4" t="s">
        <v>148</v>
      </c>
      <c r="F60" s="4" t="n">
        <v>61</v>
      </c>
      <c r="G60" s="4" t="n">
        <v>317475</v>
      </c>
      <c r="H60" s="4" t="n">
        <v>14.5</v>
      </c>
      <c r="I60" s="4" t="n">
        <v>32.4</v>
      </c>
      <c r="J60" s="4" t="n">
        <v>60.7</v>
      </c>
      <c r="K60" s="4" t="n">
        <v>7.4</v>
      </c>
      <c r="L60" s="4" t="n">
        <v>-5</v>
      </c>
      <c r="M60" s="4" t="n">
        <v>8</v>
      </c>
      <c r="N60" s="4" t="n">
        <v>12</v>
      </c>
      <c r="O60" s="4" t="n">
        <v>18</v>
      </c>
      <c r="P60" s="4" t="s">
        <v>23</v>
      </c>
      <c r="Q60" s="4" t="s">
        <v>215</v>
      </c>
      <c r="R60" s="4" t="str">
        <f aca="false">IF(F60&gt;=$T$2,"High ESG","Low ESG")</f>
        <v>Low ESG</v>
      </c>
    </row>
    <row r="61" customFormat="false" ht="15" hidden="false" customHeight="true" outlineLevel="0" collapsed="false">
      <c r="A61" s="4" t="n">
        <v>60</v>
      </c>
      <c r="B61" s="4" t="s">
        <v>216</v>
      </c>
      <c r="C61" s="4" t="s">
        <v>217</v>
      </c>
      <c r="D61" s="4" t="s">
        <v>31</v>
      </c>
      <c r="E61" s="4" t="s">
        <v>148</v>
      </c>
      <c r="F61" s="4" t="n">
        <v>61</v>
      </c>
      <c r="G61" s="4" t="n">
        <v>181436</v>
      </c>
      <c r="H61" s="4" t="n">
        <v>14.2</v>
      </c>
      <c r="I61" s="4" t="n">
        <v>110.2</v>
      </c>
      <c r="J61" s="4" t="n">
        <v>37</v>
      </c>
      <c r="K61" s="4" t="n">
        <v>26.8</v>
      </c>
      <c r="L61" s="4" t="n">
        <v>110</v>
      </c>
      <c r="M61" s="4" t="n">
        <v>85</v>
      </c>
      <c r="N61" s="4" t="n">
        <v>55</v>
      </c>
      <c r="O61" s="4" t="n">
        <v>35</v>
      </c>
      <c r="P61" s="4" t="s">
        <v>23</v>
      </c>
      <c r="Q61" s="4" t="s">
        <v>218</v>
      </c>
      <c r="R61" s="4" t="str">
        <f aca="false">IF(F61&gt;=$T$2,"High ESG","Low ESG")</f>
        <v>Low ESG</v>
      </c>
    </row>
    <row r="62" customFormat="false" ht="15" hidden="false" customHeight="true" outlineLevel="0" collapsed="false">
      <c r="A62" s="4" t="n">
        <v>61</v>
      </c>
      <c r="B62" s="4" t="s">
        <v>219</v>
      </c>
      <c r="C62" s="4" t="s">
        <v>220</v>
      </c>
      <c r="D62" s="4" t="s">
        <v>125</v>
      </c>
      <c r="E62" s="4" t="s">
        <v>148</v>
      </c>
      <c r="F62" s="4" t="n">
        <v>61</v>
      </c>
      <c r="G62" s="4" t="n">
        <v>178799</v>
      </c>
      <c r="H62" s="4" t="n">
        <v>13.8</v>
      </c>
      <c r="I62" s="4" t="n">
        <v>45</v>
      </c>
      <c r="J62" s="4" t="n">
        <v>72.5</v>
      </c>
      <c r="K62" s="4" t="n">
        <v>20.4</v>
      </c>
      <c r="L62" s="4" t="n">
        <v>-25</v>
      </c>
      <c r="M62" s="4" t="n">
        <v>15</v>
      </c>
      <c r="N62" s="4" t="n">
        <v>35</v>
      </c>
      <c r="O62" s="4" t="n">
        <v>28</v>
      </c>
      <c r="P62" s="4" t="s">
        <v>23</v>
      </c>
      <c r="Q62" s="4" t="s">
        <v>221</v>
      </c>
      <c r="R62" s="4" t="str">
        <f aca="false">IF(F62&gt;=$T$2,"High ESG","Low ESG")</f>
        <v>Low ESG</v>
      </c>
    </row>
    <row r="63" customFormat="false" ht="15" hidden="false" customHeight="true" outlineLevel="0" collapsed="false">
      <c r="A63" s="4" t="n">
        <v>62</v>
      </c>
      <c r="B63" s="4" t="s">
        <v>222</v>
      </c>
      <c r="C63" s="4" t="s">
        <v>223</v>
      </c>
      <c r="D63" s="4" t="s">
        <v>31</v>
      </c>
      <c r="E63" s="4" t="s">
        <v>148</v>
      </c>
      <c r="F63" s="4" t="n">
        <v>61</v>
      </c>
      <c r="G63" s="4" t="n">
        <v>110789</v>
      </c>
      <c r="H63" s="4" t="n">
        <v>16.4</v>
      </c>
      <c r="I63" s="4" t="n">
        <v>52.1</v>
      </c>
      <c r="J63" s="4" t="n">
        <v>56.8</v>
      </c>
      <c r="K63" s="4" t="n">
        <v>18.2</v>
      </c>
      <c r="L63" s="4" t="n">
        <v>14</v>
      </c>
      <c r="M63" s="4" t="n">
        <v>12</v>
      </c>
      <c r="N63" s="4" t="n">
        <v>15</v>
      </c>
      <c r="O63" s="4" t="n">
        <v>11</v>
      </c>
      <c r="P63" s="4" t="s">
        <v>23</v>
      </c>
      <c r="Q63" s="4" t="s">
        <v>224</v>
      </c>
      <c r="R63" s="4" t="str">
        <f aca="false">IF(F63&gt;=$T$2,"High ESG","Low ESG")</f>
        <v>Low ESG</v>
      </c>
    </row>
    <row r="64" customFormat="false" ht="15" hidden="false" customHeight="true" outlineLevel="0" collapsed="false">
      <c r="A64" s="4" t="n">
        <v>63</v>
      </c>
      <c r="B64" s="4" t="s">
        <v>225</v>
      </c>
      <c r="C64" s="4" t="s">
        <v>226</v>
      </c>
      <c r="D64" s="4" t="s">
        <v>21</v>
      </c>
      <c r="E64" s="4" t="s">
        <v>148</v>
      </c>
      <c r="F64" s="4" t="n">
        <v>61</v>
      </c>
      <c r="G64" s="4" t="n">
        <v>40280</v>
      </c>
      <c r="H64" s="4" t="n">
        <v>61.41</v>
      </c>
      <c r="I64" s="4" t="n">
        <v>38.26</v>
      </c>
      <c r="J64" s="4" t="n">
        <v>70.5</v>
      </c>
      <c r="K64" s="4" t="n">
        <v>1.1</v>
      </c>
      <c r="L64" s="4" t="n">
        <v>12</v>
      </c>
      <c r="M64" s="4" t="n">
        <v>8</v>
      </c>
      <c r="N64" s="4" t="n">
        <v>10</v>
      </c>
      <c r="O64" s="4" t="n">
        <v>11</v>
      </c>
      <c r="P64" s="4" t="s">
        <v>23</v>
      </c>
      <c r="Q64" s="4" t="s">
        <v>227</v>
      </c>
      <c r="R64" s="4" t="str">
        <f aca="false">IF(F64&gt;=$T$2,"High ESG","Low ESG")</f>
        <v>Low ESG</v>
      </c>
    </row>
    <row r="65" customFormat="false" ht="15" hidden="false" customHeight="true" outlineLevel="0" collapsed="false">
      <c r="A65" s="4" t="n">
        <v>64</v>
      </c>
      <c r="B65" s="4" t="s">
        <v>228</v>
      </c>
      <c r="C65" s="4" t="s">
        <v>229</v>
      </c>
      <c r="D65" s="4" t="s">
        <v>121</v>
      </c>
      <c r="E65" s="4" t="s">
        <v>148</v>
      </c>
      <c r="F65" s="4" t="n">
        <v>60</v>
      </c>
      <c r="G65" s="4" t="n">
        <v>90400</v>
      </c>
      <c r="H65" s="4" t="n">
        <v>10.8</v>
      </c>
      <c r="I65" s="4" t="n">
        <v>42.1</v>
      </c>
      <c r="J65" s="4" t="n">
        <v>62.6</v>
      </c>
      <c r="K65" s="4" t="n">
        <v>12.4</v>
      </c>
      <c r="L65" s="4" t="n">
        <v>4</v>
      </c>
      <c r="M65" s="4" t="n">
        <v>5</v>
      </c>
      <c r="N65" s="4" t="n">
        <v>8</v>
      </c>
      <c r="O65" s="4" t="n">
        <v>15</v>
      </c>
      <c r="P65" s="4" t="s">
        <v>23</v>
      </c>
      <c r="Q65" s="4" t="s">
        <v>230</v>
      </c>
      <c r="R65" s="4" t="str">
        <f aca="false">IF(F65&gt;=$T$2,"High ESG","Low ESG")</f>
        <v>Low ESG</v>
      </c>
    </row>
    <row r="66" customFormat="false" ht="15" hidden="false" customHeight="true" outlineLevel="0" collapsed="false">
      <c r="A66" s="4" t="n">
        <v>65</v>
      </c>
      <c r="B66" s="4" t="s">
        <v>231</v>
      </c>
      <c r="C66" s="4" t="s">
        <v>232</v>
      </c>
      <c r="D66" s="4" t="s">
        <v>31</v>
      </c>
      <c r="E66" s="4" t="s">
        <v>148</v>
      </c>
      <c r="F66" s="4" t="n">
        <v>60</v>
      </c>
      <c r="G66" s="4" t="n">
        <v>69404</v>
      </c>
      <c r="H66" s="4" t="n">
        <v>24.2</v>
      </c>
      <c r="I66" s="4" t="n">
        <v>54.1</v>
      </c>
      <c r="J66" s="4" t="n">
        <v>75</v>
      </c>
      <c r="K66" s="4" t="n">
        <v>11.2</v>
      </c>
      <c r="L66" s="4" t="n">
        <v>-4</v>
      </c>
      <c r="M66" s="4" t="n">
        <v>2</v>
      </c>
      <c r="N66" s="4" t="n">
        <v>11</v>
      </c>
      <c r="O66" s="4" t="n">
        <v>14</v>
      </c>
      <c r="P66" s="4" t="s">
        <v>23</v>
      </c>
      <c r="Q66" s="4" t="s">
        <v>233</v>
      </c>
      <c r="R66" s="4" t="str">
        <f aca="false">IF(F66&gt;=$T$2,"High ESG","Low ESG")</f>
        <v>Low ESG</v>
      </c>
    </row>
    <row r="67" customFormat="false" ht="15" hidden="false" customHeight="true" outlineLevel="0" collapsed="false">
      <c r="A67" s="4" t="n">
        <v>66</v>
      </c>
      <c r="B67" s="4" t="s">
        <v>234</v>
      </c>
      <c r="C67" s="4" t="s">
        <v>235</v>
      </c>
      <c r="D67" s="4" t="s">
        <v>55</v>
      </c>
      <c r="E67" s="4" t="s">
        <v>148</v>
      </c>
      <c r="F67" s="4" t="n">
        <v>60</v>
      </c>
      <c r="G67" s="4" t="n">
        <v>40459</v>
      </c>
      <c r="H67" s="4" t="n">
        <v>22.4</v>
      </c>
      <c r="I67" s="4" t="n">
        <v>62.4</v>
      </c>
      <c r="J67" s="4" t="n">
        <v>75</v>
      </c>
      <c r="K67" s="4" t="n">
        <v>6.2</v>
      </c>
      <c r="L67" s="4" t="n">
        <v>12</v>
      </c>
      <c r="M67" s="4" t="n">
        <v>8</v>
      </c>
      <c r="N67" s="4" t="n">
        <v>11</v>
      </c>
      <c r="O67" s="4" t="n">
        <v>16</v>
      </c>
      <c r="P67" s="4" t="s">
        <v>23</v>
      </c>
      <c r="Q67" s="4" t="s">
        <v>236</v>
      </c>
      <c r="R67" s="4" t="str">
        <f aca="false">IF(F67&gt;=$T$2,"High ESG","Low ESG")</f>
        <v>Low ESG</v>
      </c>
    </row>
    <row r="68" customFormat="false" ht="15" hidden="false" customHeight="true" outlineLevel="0" collapsed="false">
      <c r="A68" s="4" t="n">
        <v>67</v>
      </c>
      <c r="B68" s="4" t="s">
        <v>237</v>
      </c>
      <c r="C68" s="4" t="s">
        <v>238</v>
      </c>
      <c r="D68" s="4" t="s">
        <v>41</v>
      </c>
      <c r="E68" s="4" t="s">
        <v>239</v>
      </c>
      <c r="F68" s="4" t="n">
        <v>59</v>
      </c>
      <c r="G68" s="4" t="n">
        <v>428578</v>
      </c>
      <c r="H68" s="4" t="n">
        <v>14.2</v>
      </c>
      <c r="I68" s="4" t="n">
        <v>26.8</v>
      </c>
      <c r="J68" s="4" t="n">
        <v>56.4</v>
      </c>
      <c r="K68" s="4" t="n">
        <v>21.8</v>
      </c>
      <c r="L68" s="4" t="n">
        <v>18</v>
      </c>
      <c r="M68" s="4" t="n">
        <v>12</v>
      </c>
      <c r="N68" s="4" t="n">
        <v>8</v>
      </c>
      <c r="O68" s="4" t="n">
        <v>14</v>
      </c>
      <c r="P68" s="4" t="s">
        <v>23</v>
      </c>
      <c r="Q68" s="4" t="s">
        <v>240</v>
      </c>
      <c r="R68" s="4" t="str">
        <f aca="false">IF(F68&gt;=$T$2,"High ESG","Low ESG")</f>
        <v>Low ESG</v>
      </c>
    </row>
    <row r="69" customFormat="false" ht="15" hidden="false" customHeight="true" outlineLevel="0" collapsed="false">
      <c r="A69" s="4" t="n">
        <v>68</v>
      </c>
      <c r="B69" s="4" t="s">
        <v>241</v>
      </c>
      <c r="C69" s="4" t="s">
        <v>242</v>
      </c>
      <c r="D69" s="4" t="s">
        <v>147</v>
      </c>
      <c r="E69" s="4" t="s">
        <v>239</v>
      </c>
      <c r="F69" s="4" t="n">
        <v>59</v>
      </c>
      <c r="G69" s="4" t="n">
        <v>93062</v>
      </c>
      <c r="H69" s="4" t="n">
        <v>14.2</v>
      </c>
      <c r="I69" s="4" t="n">
        <v>18.4</v>
      </c>
      <c r="J69" s="4" t="n">
        <v>69</v>
      </c>
      <c r="K69" s="4" t="n">
        <v>20.4</v>
      </c>
      <c r="L69" s="4" t="n">
        <v>45</v>
      </c>
      <c r="M69" s="4" t="n">
        <v>12</v>
      </c>
      <c r="N69" s="4" t="n">
        <v>-2</v>
      </c>
      <c r="O69" s="4" t="n">
        <v>5</v>
      </c>
      <c r="P69" s="4" t="s">
        <v>23</v>
      </c>
      <c r="Q69" s="4" t="s">
        <v>243</v>
      </c>
      <c r="R69" s="4" t="str">
        <f aca="false">IF(F69&gt;=$T$2,"High ESG","Low ESG")</f>
        <v>Low ESG</v>
      </c>
    </row>
    <row r="70" customFormat="false" ht="15" hidden="false" customHeight="true" outlineLevel="0" collapsed="false">
      <c r="A70" s="4" t="n">
        <v>69</v>
      </c>
      <c r="B70" s="4" t="s">
        <v>244</v>
      </c>
      <c r="C70" s="4" t="s">
        <v>245</v>
      </c>
      <c r="D70" s="4" t="s">
        <v>31</v>
      </c>
      <c r="E70" s="4" t="s">
        <v>239</v>
      </c>
      <c r="F70" s="4" t="n">
        <v>59</v>
      </c>
      <c r="G70" s="4" t="n">
        <v>39667</v>
      </c>
      <c r="H70" s="4" t="n">
        <v>18.2</v>
      </c>
      <c r="I70" s="4" t="n">
        <v>75.4</v>
      </c>
      <c r="J70" s="4" t="n">
        <v>41.9</v>
      </c>
      <c r="K70" s="4" t="n">
        <v>25.4</v>
      </c>
      <c r="L70" s="4" t="n">
        <v>-12</v>
      </c>
      <c r="M70" s="4" t="n">
        <v>-8</v>
      </c>
      <c r="N70" s="4" t="n">
        <v>4</v>
      </c>
      <c r="O70" s="4" t="n">
        <v>12</v>
      </c>
      <c r="P70" s="4" t="s">
        <v>23</v>
      </c>
      <c r="Q70" s="4" t="s">
        <v>246</v>
      </c>
      <c r="R70" s="4" t="str">
        <f aca="false">IF(F70&gt;=$T$2,"High ESG","Low ESG")</f>
        <v>Low ESG</v>
      </c>
    </row>
    <row r="71" customFormat="false" ht="15" hidden="false" customHeight="true" outlineLevel="0" collapsed="false">
      <c r="A71" s="4" t="n">
        <v>70</v>
      </c>
      <c r="B71" s="4" t="s">
        <v>247</v>
      </c>
      <c r="C71" s="4" t="s">
        <v>248</v>
      </c>
      <c r="D71" s="4" t="s">
        <v>41</v>
      </c>
      <c r="E71" s="4" t="s">
        <v>239</v>
      </c>
      <c r="F71" s="4" t="n">
        <v>58</v>
      </c>
      <c r="G71" s="4" t="n">
        <v>153250</v>
      </c>
      <c r="H71" s="4" t="n">
        <v>11.4</v>
      </c>
      <c r="I71" s="4" t="n">
        <v>24.2</v>
      </c>
      <c r="J71" s="4" t="n">
        <v>61.8</v>
      </c>
      <c r="K71" s="4" t="n">
        <v>11.2</v>
      </c>
      <c r="L71" s="4" t="n">
        <v>8</v>
      </c>
      <c r="M71" s="4" t="n">
        <v>5</v>
      </c>
      <c r="N71" s="4" t="n">
        <v>6</v>
      </c>
      <c r="O71" s="4" t="n">
        <v>11</v>
      </c>
      <c r="P71" s="4" t="s">
        <v>23</v>
      </c>
      <c r="Q71" s="4" t="s">
        <v>249</v>
      </c>
      <c r="R71" s="4" t="str">
        <f aca="false">IF(F71&gt;=$T$2,"High ESG","Low ESG")</f>
        <v>Low ESG</v>
      </c>
    </row>
    <row r="72" customFormat="false" ht="15" hidden="false" customHeight="true" outlineLevel="0" collapsed="false">
      <c r="A72" s="4" t="n">
        <v>71</v>
      </c>
      <c r="B72" s="4" t="s">
        <v>250</v>
      </c>
      <c r="C72" s="4" t="s">
        <v>251</v>
      </c>
      <c r="D72" s="4" t="s">
        <v>21</v>
      </c>
      <c r="E72" s="4" t="s">
        <v>239</v>
      </c>
      <c r="F72" s="4" t="n">
        <v>58</v>
      </c>
      <c r="G72" s="4" t="n">
        <v>119301</v>
      </c>
      <c r="H72" s="4" t="n">
        <v>19.4</v>
      </c>
      <c r="I72" s="4" t="n">
        <v>38.5</v>
      </c>
      <c r="J72" s="4" t="n">
        <v>71.2</v>
      </c>
      <c r="K72" s="4" t="n">
        <v>11.5</v>
      </c>
      <c r="L72" s="4" t="n">
        <v>22</v>
      </c>
      <c r="M72" s="4" t="n">
        <v>18</v>
      </c>
      <c r="N72" s="4" t="n">
        <v>15</v>
      </c>
      <c r="O72" s="4" t="n">
        <v>16</v>
      </c>
      <c r="P72" s="4" t="s">
        <v>23</v>
      </c>
      <c r="Q72" s="4" t="s">
        <v>252</v>
      </c>
      <c r="R72" s="4" t="str">
        <f aca="false">IF(F72&gt;=$T$2,"High ESG","Low ESG")</f>
        <v>Low ESG</v>
      </c>
    </row>
    <row r="73" customFormat="false" ht="15" hidden="false" customHeight="true" outlineLevel="0" collapsed="false">
      <c r="A73" s="4" t="n">
        <v>72</v>
      </c>
      <c r="B73" s="4" t="s">
        <v>253</v>
      </c>
      <c r="C73" s="4" t="s">
        <v>254</v>
      </c>
      <c r="D73" s="4" t="s">
        <v>27</v>
      </c>
      <c r="E73" s="4" t="s">
        <v>239</v>
      </c>
      <c r="F73" s="4" t="n">
        <v>58</v>
      </c>
      <c r="G73" s="4" t="n">
        <v>65948</v>
      </c>
      <c r="H73" s="4" t="n">
        <v>11.2</v>
      </c>
      <c r="I73" s="4" t="n">
        <v>85</v>
      </c>
      <c r="J73" s="4" t="n">
        <v>38.1</v>
      </c>
      <c r="K73" s="4" t="n">
        <v>31.4</v>
      </c>
      <c r="L73" s="4" t="n">
        <v>22</v>
      </c>
      <c r="M73" s="4" t="n">
        <v>5</v>
      </c>
      <c r="N73" s="4" t="n">
        <v>19</v>
      </c>
      <c r="O73" s="4" t="n">
        <v>24</v>
      </c>
      <c r="P73" s="4" t="s">
        <v>23</v>
      </c>
      <c r="Q73" s="4" t="s">
        <v>255</v>
      </c>
      <c r="R73" s="4" t="str">
        <f aca="false">IF(F73&gt;=$T$2,"High ESG","Low ESG")</f>
        <v>Low ESG</v>
      </c>
    </row>
    <row r="74" customFormat="false" ht="15" hidden="false" customHeight="true" outlineLevel="0" collapsed="false">
      <c r="A74" s="4" t="n">
        <v>73</v>
      </c>
      <c r="B74" s="4" t="s">
        <v>256</v>
      </c>
      <c r="C74" s="4" t="s">
        <v>257</v>
      </c>
      <c r="D74" s="4" t="s">
        <v>21</v>
      </c>
      <c r="E74" s="4" t="s">
        <v>239</v>
      </c>
      <c r="F74" s="4" t="n">
        <v>58</v>
      </c>
      <c r="G74" s="4" t="n">
        <v>56303</v>
      </c>
      <c r="H74" s="4" t="n">
        <v>28.4</v>
      </c>
      <c r="I74" s="4" t="n">
        <v>44.5</v>
      </c>
      <c r="J74" s="4" t="n">
        <v>75</v>
      </c>
      <c r="K74" s="4" t="n">
        <v>4.1</v>
      </c>
      <c r="L74" s="4" t="n">
        <v>15</v>
      </c>
      <c r="M74" s="4" t="n">
        <v>18</v>
      </c>
      <c r="N74" s="4" t="n">
        <v>22</v>
      </c>
      <c r="O74" s="4" t="n">
        <v>26</v>
      </c>
      <c r="P74" s="4" t="s">
        <v>23</v>
      </c>
      <c r="Q74" s="4" t="s">
        <v>258</v>
      </c>
      <c r="R74" s="4" t="str">
        <f aca="false">IF(F74&gt;=$T$2,"High ESG","Low ESG")</f>
        <v>Low ESG</v>
      </c>
    </row>
    <row r="75" customFormat="false" ht="15" hidden="false" customHeight="true" outlineLevel="0" collapsed="false">
      <c r="A75" s="4" t="n">
        <v>74</v>
      </c>
      <c r="B75" s="4" t="s">
        <v>259</v>
      </c>
      <c r="C75" s="4" t="s">
        <v>260</v>
      </c>
      <c r="D75" s="4" t="s">
        <v>21</v>
      </c>
      <c r="E75" s="4" t="s">
        <v>239</v>
      </c>
      <c r="F75" s="4" t="n">
        <v>58</v>
      </c>
      <c r="G75" s="4" t="n">
        <v>25483</v>
      </c>
      <c r="H75" s="4" t="n">
        <v>4.2</v>
      </c>
      <c r="I75" s="4" t="n">
        <v>14.2</v>
      </c>
      <c r="J75" s="4" t="n">
        <v>46.1</v>
      </c>
      <c r="K75" s="4" t="n">
        <v>28.5</v>
      </c>
      <c r="L75" s="4" t="n">
        <v>-15</v>
      </c>
      <c r="M75" s="4" t="n">
        <v>-20</v>
      </c>
      <c r="N75" s="4" t="n">
        <v>-12</v>
      </c>
      <c r="O75" s="4" t="n">
        <v>-2</v>
      </c>
      <c r="P75" s="4" t="s">
        <v>23</v>
      </c>
      <c r="Q75" s="4" t="s">
        <v>261</v>
      </c>
      <c r="R75" s="4" t="str">
        <f aca="false">IF(F75&gt;=$T$2,"High ESG","Low ESG")</f>
        <v>Low ESG</v>
      </c>
    </row>
    <row r="76" customFormat="false" ht="15" hidden="false" customHeight="true" outlineLevel="0" collapsed="false">
      <c r="A76" s="4" t="n">
        <v>75</v>
      </c>
      <c r="B76" s="4" t="s">
        <v>262</v>
      </c>
      <c r="C76" s="4" t="s">
        <v>263</v>
      </c>
      <c r="D76" s="4" t="s">
        <v>31</v>
      </c>
      <c r="E76" s="4" t="s">
        <v>239</v>
      </c>
      <c r="F76" s="4" t="n">
        <v>58</v>
      </c>
      <c r="G76" s="4" t="n">
        <v>15962</v>
      </c>
      <c r="H76" s="4" t="n">
        <v>11.4</v>
      </c>
      <c r="I76" s="4" t="n">
        <v>58.2</v>
      </c>
      <c r="J76" s="4" t="n">
        <v>75</v>
      </c>
      <c r="K76" s="4" t="n">
        <v>3.5</v>
      </c>
      <c r="L76" s="4" t="n">
        <v>-6</v>
      </c>
      <c r="M76" s="4" t="n">
        <v>-12</v>
      </c>
      <c r="N76" s="4" t="n">
        <v>-4</v>
      </c>
      <c r="O76" s="4" t="n">
        <v>11</v>
      </c>
      <c r="P76" s="4" t="s">
        <v>23</v>
      </c>
      <c r="Q76" s="4" t="s">
        <v>264</v>
      </c>
      <c r="R76" s="4" t="str">
        <f aca="false">IF(F76&gt;=$T$2,"High ESG","Low ESG")</f>
        <v>Low ESG</v>
      </c>
    </row>
    <row r="77" customFormat="false" ht="15" hidden="false" customHeight="true" outlineLevel="0" collapsed="false">
      <c r="A77" s="4" t="n">
        <v>76</v>
      </c>
      <c r="B77" s="4" t="s">
        <v>265</v>
      </c>
      <c r="C77" s="4" t="s">
        <v>266</v>
      </c>
      <c r="D77" s="4" t="s">
        <v>21</v>
      </c>
      <c r="E77" s="4" t="s">
        <v>239</v>
      </c>
      <c r="F77" s="4" t="n">
        <v>57</v>
      </c>
      <c r="G77" s="4" t="n">
        <v>397820</v>
      </c>
      <c r="H77" s="4" t="n">
        <v>16.49</v>
      </c>
      <c r="I77" s="4" t="n">
        <v>34.7</v>
      </c>
      <c r="J77" s="4" t="n">
        <v>54.5</v>
      </c>
      <c r="K77" s="4" t="n">
        <v>16.8</v>
      </c>
      <c r="L77" s="4" t="n">
        <v>35</v>
      </c>
      <c r="M77" s="4" t="n">
        <v>18</v>
      </c>
      <c r="N77" s="4" t="n">
        <v>16</v>
      </c>
      <c r="O77" s="4" t="n">
        <v>12</v>
      </c>
      <c r="P77" s="4" t="s">
        <v>23</v>
      </c>
      <c r="Q77" s="4" t="s">
        <v>267</v>
      </c>
      <c r="R77" s="4" t="str">
        <f aca="false">IF(F77&gt;=$T$2,"High ESG","Low ESG")</f>
        <v>Low ESG</v>
      </c>
    </row>
    <row r="78" customFormat="false" ht="15" hidden="false" customHeight="true" outlineLevel="0" collapsed="false">
      <c r="A78" s="4" t="n">
        <v>77</v>
      </c>
      <c r="B78" s="4" t="s">
        <v>268</v>
      </c>
      <c r="C78" s="4" t="s">
        <v>269</v>
      </c>
      <c r="D78" s="4" t="s">
        <v>31</v>
      </c>
      <c r="E78" s="4" t="s">
        <v>239</v>
      </c>
      <c r="F78" s="4" t="n">
        <v>57</v>
      </c>
      <c r="G78" s="4" t="n">
        <v>50452</v>
      </c>
      <c r="H78" s="4" t="n">
        <v>11.4</v>
      </c>
      <c r="I78" s="4" t="n">
        <v>78.4</v>
      </c>
      <c r="J78" s="4" t="n">
        <v>72.7</v>
      </c>
      <c r="K78" s="4" t="n">
        <v>9.4</v>
      </c>
      <c r="L78" s="4" t="n">
        <v>8</v>
      </c>
      <c r="M78" s="4" t="n">
        <v>6</v>
      </c>
      <c r="N78" s="4" t="n">
        <v>10</v>
      </c>
      <c r="O78" s="4" t="n">
        <v>12</v>
      </c>
      <c r="P78" s="4" t="s">
        <v>23</v>
      </c>
      <c r="Q78" s="4" t="s">
        <v>270</v>
      </c>
      <c r="R78" s="4" t="str">
        <f aca="false">IF(F78&gt;=$T$2,"High ESG","Low ESG")</f>
        <v>Low ESG</v>
      </c>
    </row>
    <row r="79" customFormat="false" ht="15" hidden="false" customHeight="true" outlineLevel="0" collapsed="false">
      <c r="A79" s="4" t="n">
        <v>78</v>
      </c>
      <c r="B79" s="4" t="s">
        <v>271</v>
      </c>
      <c r="C79" s="4" t="s">
        <v>272</v>
      </c>
      <c r="D79" s="4" t="s">
        <v>207</v>
      </c>
      <c r="E79" s="4" t="s">
        <v>239</v>
      </c>
      <c r="F79" s="4" t="n">
        <v>57</v>
      </c>
      <c r="G79" s="4" t="n">
        <v>42955</v>
      </c>
      <c r="H79" s="4" t="n">
        <v>21.5</v>
      </c>
      <c r="I79" s="4" t="n">
        <v>38.2</v>
      </c>
      <c r="J79" s="4" t="n">
        <v>46.1</v>
      </c>
      <c r="K79" s="4" t="n">
        <v>19.2</v>
      </c>
      <c r="L79" s="4" t="n">
        <v>12</v>
      </c>
      <c r="M79" s="4" t="n">
        <v>24</v>
      </c>
      <c r="N79" s="4" t="n">
        <v>28</v>
      </c>
      <c r="O79" s="4" t="n">
        <v>32</v>
      </c>
      <c r="P79" s="4" t="s">
        <v>23</v>
      </c>
      <c r="Q79" s="4" t="s">
        <v>273</v>
      </c>
      <c r="R79" s="4" t="str">
        <f aca="false">IF(F79&gt;=$T$2,"High ESG","Low ESG")</f>
        <v>Low ESG</v>
      </c>
    </row>
    <row r="80" customFormat="false" ht="15" hidden="false" customHeight="true" outlineLevel="0" collapsed="false">
      <c r="A80" s="4" t="n">
        <v>79</v>
      </c>
      <c r="B80" s="4" t="s">
        <v>274</v>
      </c>
      <c r="C80" s="4" t="s">
        <v>275</v>
      </c>
      <c r="D80" s="4" t="s">
        <v>121</v>
      </c>
      <c r="E80" s="4" t="s">
        <v>239</v>
      </c>
      <c r="F80" s="4" t="n">
        <v>57</v>
      </c>
      <c r="G80" s="4" t="n">
        <v>25369</v>
      </c>
      <c r="H80" s="4" t="n">
        <v>11.2</v>
      </c>
      <c r="I80" s="4" t="n">
        <v>24.5</v>
      </c>
      <c r="J80" s="4" t="n">
        <v>56.7</v>
      </c>
      <c r="K80" s="4" t="n">
        <v>10.2</v>
      </c>
      <c r="L80" s="4" t="n">
        <v>8</v>
      </c>
      <c r="M80" s="4" t="n">
        <v>6</v>
      </c>
      <c r="N80" s="4" t="n">
        <v>8</v>
      </c>
      <c r="O80" s="4" t="n">
        <v>7</v>
      </c>
      <c r="P80" s="4" t="s">
        <v>23</v>
      </c>
      <c r="Q80" s="4" t="s">
        <v>276</v>
      </c>
      <c r="R80" s="4" t="str">
        <f aca="false">IF(F80&gt;=$T$2,"High ESG","Low ESG")</f>
        <v>Low ESG</v>
      </c>
    </row>
    <row r="81" customFormat="false" ht="15" hidden="false" customHeight="true" outlineLevel="0" collapsed="false">
      <c r="A81" s="4" t="n">
        <v>80</v>
      </c>
      <c r="B81" s="4" t="s">
        <v>277</v>
      </c>
      <c r="C81" s="4" t="s">
        <v>278</v>
      </c>
      <c r="D81" s="4" t="s">
        <v>21</v>
      </c>
      <c r="E81" s="4" t="s">
        <v>239</v>
      </c>
      <c r="F81" s="4" t="n">
        <v>56</v>
      </c>
      <c r="G81" s="4" t="n">
        <v>107063</v>
      </c>
      <c r="H81" s="4" t="n">
        <v>13.5</v>
      </c>
      <c r="I81" s="4" t="n">
        <v>24.2</v>
      </c>
      <c r="J81" s="4" t="n">
        <v>74.9</v>
      </c>
      <c r="K81" s="4" t="n">
        <v>5.2</v>
      </c>
      <c r="L81" s="4" t="n">
        <v>28</v>
      </c>
      <c r="M81" s="4" t="n">
        <v>12</v>
      </c>
      <c r="N81" s="4" t="n">
        <v>14</v>
      </c>
      <c r="O81" s="4" t="n">
        <v>11</v>
      </c>
      <c r="P81" s="4" t="s">
        <v>23</v>
      </c>
      <c r="Q81" s="4" t="s">
        <v>279</v>
      </c>
      <c r="R81" s="4" t="str">
        <f aca="false">IF(F81&gt;=$T$2,"High ESG","Low ESG")</f>
        <v>Low ESG</v>
      </c>
    </row>
    <row r="82" customFormat="false" ht="15" hidden="false" customHeight="true" outlineLevel="0" collapsed="false">
      <c r="A82" s="4" t="n">
        <v>81</v>
      </c>
      <c r="B82" s="4" t="s">
        <v>280</v>
      </c>
      <c r="C82" s="4" t="s">
        <v>281</v>
      </c>
      <c r="D82" s="4" t="s">
        <v>121</v>
      </c>
      <c r="E82" s="4" t="s">
        <v>239</v>
      </c>
      <c r="F82" s="4" t="n">
        <v>56</v>
      </c>
      <c r="G82" s="4" t="n">
        <v>105965</v>
      </c>
      <c r="H82" s="4" t="n">
        <v>9.2</v>
      </c>
      <c r="I82" s="4" t="n">
        <v>36.8</v>
      </c>
      <c r="J82" s="4" t="n">
        <v>63.2</v>
      </c>
      <c r="K82" s="4" t="n">
        <v>11.4</v>
      </c>
      <c r="L82" s="4" t="n">
        <v>21</v>
      </c>
      <c r="M82" s="4" t="n">
        <v>18</v>
      </c>
      <c r="N82" s="4" t="n">
        <v>16</v>
      </c>
      <c r="O82" s="4" t="n">
        <v>10</v>
      </c>
      <c r="P82" s="4" t="s">
        <v>23</v>
      </c>
      <c r="Q82" s="4" t="s">
        <v>282</v>
      </c>
      <c r="R82" s="4" t="str">
        <f aca="false">IF(F82&gt;=$T$2,"High ESG","Low ESG")</f>
        <v>Low ESG</v>
      </c>
    </row>
    <row r="83" customFormat="false" ht="15" hidden="false" customHeight="true" outlineLevel="0" collapsed="false">
      <c r="A83" s="4" t="n">
        <v>82</v>
      </c>
      <c r="B83" s="4" t="s">
        <v>283</v>
      </c>
      <c r="C83" s="4" t="s">
        <v>284</v>
      </c>
      <c r="D83" s="4" t="s">
        <v>21</v>
      </c>
      <c r="E83" s="4" t="s">
        <v>239</v>
      </c>
      <c r="F83" s="4" t="n">
        <v>56</v>
      </c>
      <c r="G83" s="4" t="n">
        <v>86231</v>
      </c>
      <c r="H83" s="4" t="n">
        <v>10.4</v>
      </c>
      <c r="I83" s="4" t="n">
        <v>35.2</v>
      </c>
      <c r="J83" s="4" t="n">
        <v>47.1</v>
      </c>
      <c r="K83" s="4" t="n">
        <v>14.5</v>
      </c>
      <c r="L83" s="4" t="n">
        <v>38</v>
      </c>
      <c r="M83" s="4" t="n">
        <v>8</v>
      </c>
      <c r="N83" s="4" t="n">
        <v>2</v>
      </c>
      <c r="O83" s="4" t="n">
        <v>4</v>
      </c>
      <c r="P83" s="4" t="s">
        <v>23</v>
      </c>
      <c r="Q83" s="4" t="s">
        <v>285</v>
      </c>
      <c r="R83" s="4" t="str">
        <f aca="false">IF(F83&gt;=$T$2,"High ESG","Low ESG")</f>
        <v>Low ESG</v>
      </c>
    </row>
    <row r="84" customFormat="false" ht="15" hidden="false" customHeight="true" outlineLevel="0" collapsed="false">
      <c r="A84" s="4" t="n">
        <v>83</v>
      </c>
      <c r="B84" s="4" t="s">
        <v>286</v>
      </c>
      <c r="C84" s="4" t="s">
        <v>287</v>
      </c>
      <c r="D84" s="4" t="s">
        <v>288</v>
      </c>
      <c r="E84" s="4" t="s">
        <v>239</v>
      </c>
      <c r="F84" s="4" t="n">
        <v>56</v>
      </c>
      <c r="G84" s="4" t="n">
        <v>14204</v>
      </c>
      <c r="H84" s="4" t="n">
        <v>19.4</v>
      </c>
      <c r="I84" s="4" t="n">
        <v>18.2</v>
      </c>
      <c r="J84" s="4" t="n">
        <v>45</v>
      </c>
      <c r="K84" s="4" t="n">
        <v>20.4</v>
      </c>
      <c r="L84" s="4" t="n">
        <v>-4</v>
      </c>
      <c r="M84" s="4" t="n">
        <v>2</v>
      </c>
      <c r="N84" s="4" t="n">
        <v>6</v>
      </c>
      <c r="O84" s="4" t="n">
        <v>12</v>
      </c>
      <c r="P84" s="4" t="s">
        <v>23</v>
      </c>
      <c r="Q84" s="4" t="s">
        <v>289</v>
      </c>
      <c r="R84" s="4" t="str">
        <f aca="false">IF(F84&gt;=$T$2,"High ESG","Low ESG")</f>
        <v>Low ESG</v>
      </c>
    </row>
    <row r="85" customFormat="false" ht="15" hidden="false" customHeight="true" outlineLevel="0" collapsed="false">
      <c r="A85" s="4" t="n">
        <v>84</v>
      </c>
      <c r="B85" s="4" t="s">
        <v>290</v>
      </c>
      <c r="C85" s="4" t="s">
        <v>291</v>
      </c>
      <c r="D85" s="4" t="s">
        <v>288</v>
      </c>
      <c r="E85" s="4" t="s">
        <v>239</v>
      </c>
      <c r="F85" s="4" t="n">
        <v>55</v>
      </c>
      <c r="G85" s="4" t="n">
        <v>1910389</v>
      </c>
      <c r="H85" s="4" t="n">
        <v>8.91</v>
      </c>
      <c r="I85" s="4" t="n">
        <v>22.7</v>
      </c>
      <c r="J85" s="4" t="n">
        <v>50</v>
      </c>
      <c r="K85" s="4" t="n">
        <v>18.67</v>
      </c>
      <c r="L85" s="4" t="n">
        <v>-4</v>
      </c>
      <c r="M85" s="4" t="n">
        <v>6</v>
      </c>
      <c r="N85" s="4" t="n">
        <v>8</v>
      </c>
      <c r="O85" s="4" t="n">
        <v>20</v>
      </c>
      <c r="P85" s="4" t="s">
        <v>23</v>
      </c>
      <c r="Q85" s="4" t="s">
        <v>292</v>
      </c>
      <c r="R85" s="4" t="str">
        <f aca="false">IF(F85&gt;=$T$2,"High ESG","Low ESG")</f>
        <v>Low ESG</v>
      </c>
    </row>
    <row r="86" customFormat="false" ht="15" hidden="false" customHeight="true" outlineLevel="0" collapsed="false">
      <c r="A86" s="4" t="n">
        <v>85</v>
      </c>
      <c r="B86" s="4" t="s">
        <v>293</v>
      </c>
      <c r="C86" s="4" t="s">
        <v>294</v>
      </c>
      <c r="D86" s="4" t="s">
        <v>21</v>
      </c>
      <c r="E86" s="4" t="s">
        <v>239</v>
      </c>
      <c r="F86" s="4" t="n">
        <v>55</v>
      </c>
      <c r="G86" s="4" t="n">
        <v>166105</v>
      </c>
      <c r="H86" s="4" t="n">
        <v>16.5</v>
      </c>
      <c r="I86" s="4" t="n">
        <v>52.4</v>
      </c>
      <c r="J86" s="4" t="n">
        <v>51.9</v>
      </c>
      <c r="K86" s="4" t="n">
        <v>15.2</v>
      </c>
      <c r="L86" s="4" t="n">
        <v>-2</v>
      </c>
      <c r="M86" s="4" t="n">
        <v>4</v>
      </c>
      <c r="N86" s="4" t="n">
        <v>18</v>
      </c>
      <c r="O86" s="4" t="n">
        <v>21</v>
      </c>
      <c r="P86" s="4" t="s">
        <v>23</v>
      </c>
      <c r="Q86" s="4" t="s">
        <v>295</v>
      </c>
      <c r="R86" s="4" t="str">
        <f aca="false">IF(F86&gt;=$T$2,"High ESG","Low ESG")</f>
        <v>Low ESG</v>
      </c>
    </row>
    <row r="87" customFormat="false" ht="15" hidden="false" customHeight="true" outlineLevel="0" collapsed="false">
      <c r="A87" s="4" t="n">
        <v>86</v>
      </c>
      <c r="B87" s="4" t="s">
        <v>296</v>
      </c>
      <c r="C87" s="4" t="s">
        <v>297</v>
      </c>
      <c r="D87" s="4" t="s">
        <v>93</v>
      </c>
      <c r="E87" s="4" t="s">
        <v>239</v>
      </c>
      <c r="F87" s="4" t="n">
        <v>55</v>
      </c>
      <c r="G87" s="4" t="n">
        <v>163335</v>
      </c>
      <c r="H87" s="4" t="n">
        <v>14.2</v>
      </c>
      <c r="I87" s="4" t="n">
        <v>15.4</v>
      </c>
      <c r="J87" s="4" t="n">
        <v>51.2</v>
      </c>
      <c r="K87" s="4" t="n">
        <v>12.4</v>
      </c>
      <c r="L87" s="4" t="n">
        <v>18</v>
      </c>
      <c r="M87" s="4" t="n">
        <v>15</v>
      </c>
      <c r="N87" s="4" t="n">
        <v>12</v>
      </c>
      <c r="O87" s="4" t="n">
        <v>16</v>
      </c>
      <c r="P87" s="4" t="s">
        <v>23</v>
      </c>
      <c r="Q87" s="4" t="s">
        <v>298</v>
      </c>
      <c r="R87" s="4" t="str">
        <f aca="false">IF(F87&gt;=$T$2,"High ESG","Low ESG")</f>
        <v>Low ESG</v>
      </c>
    </row>
    <row r="88" customFormat="false" ht="15" hidden="false" customHeight="true" outlineLevel="0" collapsed="false">
      <c r="A88" s="4" t="n">
        <v>87</v>
      </c>
      <c r="B88" s="4" t="s">
        <v>299</v>
      </c>
      <c r="C88" s="4" t="s">
        <v>300</v>
      </c>
      <c r="D88" s="4" t="s">
        <v>21</v>
      </c>
      <c r="E88" s="4" t="s">
        <v>239</v>
      </c>
      <c r="F88" s="4" t="n">
        <v>54</v>
      </c>
      <c r="G88" s="4" t="n">
        <v>55953</v>
      </c>
      <c r="H88" s="4" t="n">
        <v>16.4</v>
      </c>
      <c r="I88" s="4" t="n">
        <v>31.4</v>
      </c>
      <c r="J88" s="4" t="n">
        <v>57.1</v>
      </c>
      <c r="K88" s="4" t="n">
        <v>9.2</v>
      </c>
      <c r="L88" s="4" t="n">
        <v>14</v>
      </c>
      <c r="M88" s="4" t="n">
        <v>12</v>
      </c>
      <c r="N88" s="4" t="n">
        <v>16</v>
      </c>
      <c r="O88" s="4" t="n">
        <v>13</v>
      </c>
      <c r="P88" s="4" t="s">
        <v>23</v>
      </c>
      <c r="Q88" s="4" t="s">
        <v>301</v>
      </c>
      <c r="R88" s="4" t="str">
        <f aca="false">IF(F88&gt;=$T$2,"High ESG","Low ESG")</f>
        <v>Low ESG</v>
      </c>
    </row>
    <row r="89" customFormat="false" ht="15" hidden="false" customHeight="true" outlineLevel="0" collapsed="false">
      <c r="A89" s="4" t="n">
        <v>88</v>
      </c>
      <c r="B89" s="4" t="s">
        <v>302</v>
      </c>
      <c r="C89" s="4" t="s">
        <v>303</v>
      </c>
      <c r="D89" s="4" t="s">
        <v>21</v>
      </c>
      <c r="E89" s="4" t="s">
        <v>239</v>
      </c>
      <c r="F89" s="4" t="n">
        <v>53</v>
      </c>
      <c r="G89" s="4" t="n">
        <v>64965</v>
      </c>
      <c r="H89" s="4" t="n">
        <v>11.4</v>
      </c>
      <c r="I89" s="4" t="n">
        <v>18.5</v>
      </c>
      <c r="J89" s="4" t="n">
        <v>51.8</v>
      </c>
      <c r="K89" s="4" t="n">
        <v>21.4</v>
      </c>
      <c r="L89" s="4" t="n">
        <v>32</v>
      </c>
      <c r="M89" s="4" t="n">
        <v>10</v>
      </c>
      <c r="N89" s="4" t="n">
        <v>12</v>
      </c>
      <c r="O89" s="4" t="n">
        <v>9</v>
      </c>
      <c r="P89" s="4" t="s">
        <v>23</v>
      </c>
      <c r="Q89" s="4" t="s">
        <v>304</v>
      </c>
      <c r="R89" s="4" t="str">
        <f aca="false">IF(F89&gt;=$T$2,"High ESG","Low ESG")</f>
        <v>Low ESG</v>
      </c>
    </row>
    <row r="90" customFormat="false" ht="15" hidden="false" customHeight="true" outlineLevel="0" collapsed="false">
      <c r="A90" s="4" t="n">
        <v>89</v>
      </c>
      <c r="B90" s="4" t="s">
        <v>305</v>
      </c>
      <c r="C90" s="4" t="s">
        <v>306</v>
      </c>
      <c r="D90" s="4" t="s">
        <v>307</v>
      </c>
      <c r="E90" s="4" t="s">
        <v>239</v>
      </c>
      <c r="F90" s="4" t="n">
        <v>52</v>
      </c>
      <c r="G90" s="4" t="n">
        <v>42335</v>
      </c>
      <c r="H90" s="4" t="n">
        <v>51.2</v>
      </c>
      <c r="I90" s="4" t="n">
        <v>55.4</v>
      </c>
      <c r="J90" s="4" t="n">
        <v>46.1</v>
      </c>
      <c r="K90" s="4" t="n">
        <v>21.3</v>
      </c>
      <c r="L90" s="4" t="n">
        <v>-10</v>
      </c>
      <c r="M90" s="4" t="n">
        <v>8</v>
      </c>
      <c r="N90" s="4" t="n">
        <v>12</v>
      </c>
      <c r="O90" s="4" t="n">
        <v>24</v>
      </c>
      <c r="P90" s="4" t="s">
        <v>308</v>
      </c>
      <c r="Q90" s="4" t="s">
        <v>309</v>
      </c>
      <c r="R90" s="4" t="str">
        <f aca="false">IF(F90&gt;=$T$2,"High ESG","Low ESG")</f>
        <v>Low ESG</v>
      </c>
    </row>
    <row r="91" customFormat="false" ht="15" hidden="false" customHeight="true" outlineLevel="0" collapsed="false">
      <c r="A91" s="4" t="n">
        <v>90</v>
      </c>
      <c r="B91" s="4" t="s">
        <v>310</v>
      </c>
      <c r="C91" s="4" t="s">
        <v>311</v>
      </c>
      <c r="D91" s="4" t="s">
        <v>89</v>
      </c>
      <c r="E91" s="4" t="s">
        <v>239</v>
      </c>
      <c r="F91" s="4" t="n">
        <v>52</v>
      </c>
      <c r="G91" s="4" t="n">
        <v>25245</v>
      </c>
      <c r="H91" s="4" t="n">
        <v>11.4</v>
      </c>
      <c r="I91" s="4" t="n">
        <v>12.5</v>
      </c>
      <c r="J91" s="4" t="n">
        <v>40</v>
      </c>
      <c r="K91" s="4" t="n">
        <v>28.5</v>
      </c>
      <c r="L91" s="4" t="n">
        <v>-18</v>
      </c>
      <c r="M91" s="4" t="n">
        <v>-12</v>
      </c>
      <c r="N91" s="4" t="n">
        <v>-15</v>
      </c>
      <c r="O91" s="4" t="n">
        <v>-2</v>
      </c>
      <c r="P91" s="4" t="s">
        <v>23</v>
      </c>
      <c r="Q91" s="4" t="s">
        <v>312</v>
      </c>
      <c r="R91" s="4" t="str">
        <f aca="false">IF(F91&gt;=$T$2,"High ESG","Low ESG")</f>
        <v>Low ESG</v>
      </c>
    </row>
    <row r="92" customFormat="false" ht="15" hidden="false" customHeight="true" outlineLevel="0" collapsed="false">
      <c r="A92" s="4" t="n">
        <v>91</v>
      </c>
      <c r="B92" s="4" t="s">
        <v>313</v>
      </c>
      <c r="C92" s="4" t="s">
        <v>314</v>
      </c>
      <c r="D92" s="4" t="s">
        <v>78</v>
      </c>
      <c r="E92" s="4" t="s">
        <v>239</v>
      </c>
      <c r="F92" s="4" t="n">
        <v>51</v>
      </c>
      <c r="G92" s="4" t="n">
        <v>212840</v>
      </c>
      <c r="H92" s="4" t="n">
        <v>8.5</v>
      </c>
      <c r="I92" s="4" t="n">
        <v>54.1</v>
      </c>
      <c r="J92" s="4" t="n">
        <v>74.1</v>
      </c>
      <c r="K92" s="4" t="n">
        <v>15.2</v>
      </c>
      <c r="L92" s="4" t="n">
        <v>65</v>
      </c>
      <c r="M92" s="4" t="n">
        <v>35</v>
      </c>
      <c r="N92" s="4" t="n">
        <v>28</v>
      </c>
      <c r="O92" s="4" t="n">
        <v>12</v>
      </c>
      <c r="P92" s="4" t="s">
        <v>23</v>
      </c>
      <c r="Q92" s="4" t="s">
        <v>315</v>
      </c>
      <c r="R92" s="4" t="str">
        <f aca="false">IF(F92&gt;=$T$2,"High ESG","Low ESG")</f>
        <v>Low ESG</v>
      </c>
    </row>
    <row r="93" customFormat="false" ht="15" hidden="false" customHeight="true" outlineLevel="0" collapsed="false">
      <c r="A93" s="4" t="n">
        <v>92</v>
      </c>
      <c r="B93" s="4" t="s">
        <v>316</v>
      </c>
      <c r="C93" s="4" t="s">
        <v>317</v>
      </c>
      <c r="D93" s="4" t="s">
        <v>55</v>
      </c>
      <c r="E93" s="4" t="s">
        <v>239</v>
      </c>
      <c r="F93" s="4" t="n">
        <v>51</v>
      </c>
      <c r="G93" s="4" t="n">
        <v>174553</v>
      </c>
      <c r="H93" s="4" t="n">
        <v>22.4</v>
      </c>
      <c r="I93" s="4" t="n">
        <v>12.4</v>
      </c>
      <c r="J93" s="4" t="n">
        <v>63.7</v>
      </c>
      <c r="K93" s="4" t="n">
        <v>8.5</v>
      </c>
      <c r="L93" s="4" t="n">
        <v>35</v>
      </c>
      <c r="M93" s="4" t="n">
        <v>10</v>
      </c>
      <c r="N93" s="4" t="n">
        <v>12</v>
      </c>
      <c r="O93" s="4" t="n">
        <v>9</v>
      </c>
      <c r="P93" s="4" t="s">
        <v>23</v>
      </c>
      <c r="Q93" s="4" t="s">
        <v>318</v>
      </c>
      <c r="R93" s="4" t="str">
        <f aca="false">IF(F93&gt;=$T$2,"High ESG","Low ESG")</f>
        <v>Low ESG</v>
      </c>
    </row>
    <row r="94" customFormat="false" ht="15" hidden="false" customHeight="true" outlineLevel="0" collapsed="false">
      <c r="A94" s="4" t="n">
        <v>93</v>
      </c>
      <c r="B94" s="4" t="s">
        <v>319</v>
      </c>
      <c r="C94" s="4" t="s">
        <v>320</v>
      </c>
      <c r="D94" s="4" t="s">
        <v>93</v>
      </c>
      <c r="E94" s="4" t="s">
        <v>239</v>
      </c>
      <c r="F94" s="4" t="n">
        <v>51</v>
      </c>
      <c r="G94" s="4" t="n">
        <v>95812</v>
      </c>
      <c r="H94" s="4" t="n">
        <v>18.5</v>
      </c>
      <c r="I94" s="4" t="n">
        <v>12.4</v>
      </c>
      <c r="J94" s="4" t="n">
        <v>73.4</v>
      </c>
      <c r="K94" s="4" t="n">
        <v>9.2</v>
      </c>
      <c r="L94" s="4" t="n">
        <v>14</v>
      </c>
      <c r="M94" s="4" t="n">
        <v>4</v>
      </c>
      <c r="N94" s="4" t="n">
        <v>11</v>
      </c>
      <c r="O94" s="4" t="n">
        <v>15</v>
      </c>
      <c r="P94" s="4" t="s">
        <v>23</v>
      </c>
      <c r="Q94" s="4" t="s">
        <v>321</v>
      </c>
      <c r="R94" s="4" t="str">
        <f aca="false">IF(F94&gt;=$T$2,"High ESG","Low ESG")</f>
        <v>Low ESG</v>
      </c>
    </row>
    <row r="95" customFormat="false" ht="15" hidden="false" customHeight="true" outlineLevel="0" collapsed="false">
      <c r="A95" s="4" t="n">
        <v>94</v>
      </c>
      <c r="B95" s="4" t="s">
        <v>322</v>
      </c>
      <c r="C95" s="4" t="s">
        <v>323</v>
      </c>
      <c r="D95" s="4" t="s">
        <v>89</v>
      </c>
      <c r="E95" s="4" t="s">
        <v>239</v>
      </c>
      <c r="F95" s="4" t="n">
        <v>51</v>
      </c>
      <c r="G95" s="4" t="n">
        <v>62753</v>
      </c>
      <c r="H95" s="4" t="n">
        <v>2.4</v>
      </c>
      <c r="I95" s="4" t="n">
        <v>55</v>
      </c>
      <c r="J95" s="4" t="n">
        <v>0</v>
      </c>
      <c r="K95" s="4" t="n">
        <v>12.4</v>
      </c>
      <c r="L95" s="4" t="n">
        <v>15</v>
      </c>
      <c r="M95" s="4" t="n">
        <v>8</v>
      </c>
      <c r="N95" s="4" t="n">
        <v>-15</v>
      </c>
      <c r="O95" s="4" t="n">
        <v>-18</v>
      </c>
      <c r="P95" s="4" t="s">
        <v>23</v>
      </c>
      <c r="Q95" s="4" t="s">
        <v>324</v>
      </c>
      <c r="R95" s="4" t="str">
        <f aca="false">IF(F95&gt;=$T$2,"High ESG","Low ESG")</f>
        <v>Low ESG</v>
      </c>
    </row>
    <row r="96" customFormat="false" ht="15" hidden="false" customHeight="true" outlineLevel="0" collapsed="false">
      <c r="A96" s="4" t="n">
        <v>95</v>
      </c>
      <c r="B96" s="4" t="s">
        <v>325</v>
      </c>
      <c r="C96" s="4" t="s">
        <v>326</v>
      </c>
      <c r="D96" s="4" t="s">
        <v>31</v>
      </c>
      <c r="E96" s="4" t="s">
        <v>239</v>
      </c>
      <c r="F96" s="4" t="n">
        <v>50</v>
      </c>
      <c r="G96" s="4" t="n">
        <v>276986</v>
      </c>
      <c r="H96" s="4" t="n">
        <v>14.8</v>
      </c>
      <c r="I96" s="4" t="n">
        <v>105.4</v>
      </c>
      <c r="J96" s="4" t="n">
        <v>74.7</v>
      </c>
      <c r="K96" s="4" t="n">
        <v>8.4</v>
      </c>
      <c r="L96" s="4" t="n">
        <v>15</v>
      </c>
      <c r="M96" s="4" t="n">
        <v>8</v>
      </c>
      <c r="N96" s="4" t="n">
        <v>12</v>
      </c>
      <c r="O96" s="4" t="n">
        <v>22</v>
      </c>
      <c r="P96" s="4" t="s">
        <v>23</v>
      </c>
      <c r="Q96" s="4" t="s">
        <v>327</v>
      </c>
      <c r="R96" s="4" t="str">
        <f aca="false">IF(F96&gt;=$T$2,"High ESG","Low ESG")</f>
        <v>Low ESG</v>
      </c>
    </row>
    <row r="97" customFormat="false" ht="15" hidden="false" customHeight="true" outlineLevel="0" collapsed="false">
      <c r="A97" s="4" t="n">
        <v>96</v>
      </c>
      <c r="B97" s="4" t="s">
        <v>328</v>
      </c>
      <c r="C97" s="4" t="s">
        <v>329</v>
      </c>
      <c r="D97" s="4" t="s">
        <v>21</v>
      </c>
      <c r="E97" s="4" t="s">
        <v>239</v>
      </c>
      <c r="F97" s="4" t="n">
        <v>50</v>
      </c>
      <c r="G97" s="4" t="n">
        <v>37236</v>
      </c>
      <c r="H97" s="4" t="n">
        <v>12.4</v>
      </c>
      <c r="I97" s="4" t="n">
        <v>38.4</v>
      </c>
      <c r="J97" s="4" t="n">
        <v>46.3</v>
      </c>
      <c r="K97" s="4" t="n">
        <v>10.4</v>
      </c>
      <c r="L97" s="4" t="n">
        <v>8</v>
      </c>
      <c r="M97" s="4" t="n">
        <v>-2</v>
      </c>
      <c r="N97" s="4" t="n">
        <v>8</v>
      </c>
      <c r="O97" s="4" t="n">
        <v>14</v>
      </c>
      <c r="P97" s="4" t="s">
        <v>23</v>
      </c>
      <c r="Q97" s="4" t="s">
        <v>330</v>
      </c>
      <c r="R97" s="4" t="str">
        <f aca="false">IF(F97&gt;=$T$2,"High ESG","Low ESG")</f>
        <v>Low ESG</v>
      </c>
    </row>
    <row r="98" customFormat="false" ht="15" hidden="false" customHeight="true" outlineLevel="0" collapsed="false">
      <c r="A98" s="4" t="n">
        <v>97</v>
      </c>
      <c r="B98" s="4" t="s">
        <v>331</v>
      </c>
      <c r="C98" s="4" t="s">
        <v>332</v>
      </c>
      <c r="D98" s="4" t="s">
        <v>41</v>
      </c>
      <c r="E98" s="4" t="s">
        <v>239</v>
      </c>
      <c r="F98" s="4" t="n">
        <v>49</v>
      </c>
      <c r="G98" s="4" t="n">
        <v>59535</v>
      </c>
      <c r="H98" s="4" t="n">
        <v>10.2</v>
      </c>
      <c r="I98" s="4" t="n">
        <v>28.5</v>
      </c>
      <c r="J98" s="4" t="n">
        <v>27.8</v>
      </c>
      <c r="K98" s="4" t="n">
        <v>18.4</v>
      </c>
      <c r="L98" s="4" t="n">
        <v>15</v>
      </c>
      <c r="M98" s="4" t="n">
        <v>12</v>
      </c>
      <c r="N98" s="4" t="n">
        <v>10</v>
      </c>
      <c r="O98" s="4" t="n">
        <v>16</v>
      </c>
      <c r="P98" s="4" t="s">
        <v>23</v>
      </c>
      <c r="Q98" s="4" t="s">
        <v>333</v>
      </c>
      <c r="R98" s="4" t="str">
        <f aca="false">IF(F98&gt;=$T$2,"High ESG","Low ESG")</f>
        <v>Low ESG</v>
      </c>
    </row>
    <row r="99" customFormat="false" ht="15" hidden="false" customHeight="true" outlineLevel="0" collapsed="false">
      <c r="A99" s="4" t="n">
        <v>98</v>
      </c>
      <c r="B99" s="4" t="s">
        <v>334</v>
      </c>
      <c r="C99" s="4" t="s">
        <v>335</v>
      </c>
      <c r="D99" s="4" t="s">
        <v>211</v>
      </c>
      <c r="E99" s="4" t="s">
        <v>239</v>
      </c>
      <c r="F99" s="4" t="n">
        <v>48</v>
      </c>
      <c r="G99" s="4" t="n">
        <v>228941</v>
      </c>
      <c r="H99" s="4" t="n">
        <v>15.2</v>
      </c>
      <c r="I99" s="4" t="n">
        <v>18.4</v>
      </c>
      <c r="J99" s="4" t="n">
        <v>38.2</v>
      </c>
      <c r="K99" s="4" t="n">
        <v>24.5</v>
      </c>
      <c r="L99" s="4" t="n">
        <v>55</v>
      </c>
      <c r="M99" s="4" t="n">
        <v>24</v>
      </c>
      <c r="N99" s="4" t="n">
        <v>14</v>
      </c>
      <c r="O99" s="4" t="n">
        <v>11</v>
      </c>
      <c r="P99" s="4" t="s">
        <v>23</v>
      </c>
      <c r="Q99" s="4" t="s">
        <v>336</v>
      </c>
      <c r="R99" s="4" t="str">
        <f aca="false">IF(F99&gt;=$T$2,"High ESG","Low ESG")</f>
        <v>Low ESG</v>
      </c>
    </row>
    <row r="100" customFormat="false" ht="15" hidden="false" customHeight="true" outlineLevel="0" collapsed="false">
      <c r="A100" s="4" t="n">
        <v>99</v>
      </c>
      <c r="B100" s="4" t="s">
        <v>337</v>
      </c>
      <c r="C100" s="4" t="s">
        <v>338</v>
      </c>
      <c r="D100" s="4" t="s">
        <v>89</v>
      </c>
      <c r="E100" s="4" t="s">
        <v>239</v>
      </c>
      <c r="F100" s="4" t="n">
        <v>46</v>
      </c>
      <c r="G100" s="4" t="n">
        <v>100771</v>
      </c>
      <c r="H100" s="4" t="n">
        <v>13.6</v>
      </c>
      <c r="I100" s="4" t="n">
        <v>8.46</v>
      </c>
      <c r="J100" s="4" t="n">
        <v>94.72</v>
      </c>
      <c r="K100" s="4" t="n">
        <v>0.46</v>
      </c>
      <c r="L100" s="4" t="n">
        <v>-10</v>
      </c>
      <c r="M100" s="4" t="n">
        <v>15</v>
      </c>
      <c r="N100" s="4" t="n">
        <v>14</v>
      </c>
      <c r="O100" s="4" t="n">
        <v>0</v>
      </c>
      <c r="P100" s="4" t="s">
        <v>23</v>
      </c>
      <c r="Q100" s="4" t="s">
        <v>339</v>
      </c>
      <c r="R100" s="4" t="str">
        <f aca="false">IF(F100&gt;=$T$2,"High ESG","Low ESG")</f>
        <v>Low ESG</v>
      </c>
    </row>
    <row r="101" customFormat="false" ht="15" hidden="false" customHeight="true" outlineLevel="0" collapsed="false">
      <c r="A101" s="4" t="n">
        <v>100</v>
      </c>
      <c r="B101" s="4" t="s">
        <v>340</v>
      </c>
      <c r="C101" s="4" t="s">
        <v>341</v>
      </c>
      <c r="D101" s="4" t="s">
        <v>31</v>
      </c>
      <c r="E101" s="4" t="s">
        <v>239</v>
      </c>
      <c r="F101" s="4" t="n">
        <v>42</v>
      </c>
      <c r="G101" s="4" t="n">
        <v>4747</v>
      </c>
      <c r="H101" s="4" t="n">
        <v>6.5</v>
      </c>
      <c r="I101" s="4" t="n">
        <v>11.4</v>
      </c>
      <c r="J101" s="4" t="n">
        <v>54.1</v>
      </c>
      <c r="K101" s="4" t="n">
        <v>15.2</v>
      </c>
      <c r="L101" s="4" t="n">
        <v>-45</v>
      </c>
      <c r="M101" s="4" t="n">
        <v>-25</v>
      </c>
      <c r="N101" s="4" t="n">
        <v>-18</v>
      </c>
      <c r="O101" s="4" t="n">
        <v>-4</v>
      </c>
      <c r="P101" s="4" t="s">
        <v>23</v>
      </c>
      <c r="Q101" s="4" t="s">
        <v>342</v>
      </c>
      <c r="R101" s="4" t="str">
        <f aca="false">IF(F101&gt;=$T$2,"High ESG","Low ESG")</f>
        <v>Low ESG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7" min="7" style="1" width="16"/>
  </cols>
  <sheetData>
    <row r="1" customFormat="false" ht="17.25" hidden="false" customHeight="true" outlineLevel="0" collapsed="false">
      <c r="A1" s="6" t="s">
        <v>343</v>
      </c>
      <c r="B1" s="6"/>
      <c r="C1" s="6"/>
      <c r="D1" s="6"/>
      <c r="E1" s="6"/>
      <c r="F1" s="6"/>
      <c r="G1" s="6"/>
    </row>
    <row r="2" customFormat="false" ht="15" hidden="false" customHeight="true" outlineLevel="0" collapsed="false">
      <c r="A2" s="7" t="s">
        <v>344</v>
      </c>
      <c r="B2" s="7"/>
      <c r="C2" s="7"/>
      <c r="D2" s="7"/>
      <c r="E2" s="7"/>
      <c r="F2" s="7"/>
      <c r="G2" s="7"/>
    </row>
    <row r="4" customFormat="false" ht="15" hidden="false" customHeight="true" outlineLevel="0" collapsed="false">
      <c r="A4" s="3" t="s">
        <v>18</v>
      </c>
      <c r="B4" s="5" t="n">
        <f aca="false">Raw_Data!T2</f>
        <v>63</v>
      </c>
    </row>
    <row r="6" customFormat="false" ht="23.25" hidden="false" customHeight="true" outlineLevel="0" collapsed="false">
      <c r="A6" s="2" t="s">
        <v>345</v>
      </c>
      <c r="B6" s="2" t="s">
        <v>346</v>
      </c>
      <c r="C6" s="2" t="s">
        <v>347</v>
      </c>
      <c r="D6" s="2" t="s">
        <v>348</v>
      </c>
      <c r="E6" s="2" t="s">
        <v>349</v>
      </c>
      <c r="F6" s="2" t="s">
        <v>350</v>
      </c>
      <c r="G6" s="2" t="s">
        <v>351</v>
      </c>
    </row>
    <row r="7" customFormat="false" ht="15" hidden="false" customHeight="true" outlineLevel="0" collapsed="false">
      <c r="A7" s="8" t="s">
        <v>352</v>
      </c>
      <c r="B7" s="9" t="n">
        <f aca="false">COUNTIF(Raw_Data!$R$2:$R$101,"High ESG")</f>
        <v>51</v>
      </c>
      <c r="C7" s="10" t="n">
        <f aca="false">AVERAGEIF(Raw_Data!$R$2:$R$101,"High ESG",Raw_Data!$F$2:$F$101)</f>
        <v>68.2941176470588</v>
      </c>
      <c r="D7" s="11" t="n">
        <f aca="false">AVERAGEIF(Raw_Data!$R$2:$R$101,"High ESG",Raw_Data!$L$2:$L$101)</f>
        <v>13.9411764705882</v>
      </c>
      <c r="E7" s="11" t="n">
        <f aca="false">AVERAGEIF(Raw_Data!$R$2:$R$101,"High ESG",Raw_Data!$M$2:$M$101)</f>
        <v>12.6274509803922</v>
      </c>
      <c r="F7" s="11" t="n">
        <f aca="false">AVERAGEIF(Raw_Data!$R$2:$R$101,"High ESG",Raw_Data!$N$2:$N$101)</f>
        <v>13.8039215686275</v>
      </c>
      <c r="G7" s="11" t="n">
        <f aca="false">AVERAGEIF(Raw_Data!$R$2:$R$101,"High ESG",Raw_Data!$O$2:$O$101)</f>
        <v>13.6862745098039</v>
      </c>
    </row>
    <row r="8" customFormat="false" ht="15" hidden="false" customHeight="true" outlineLevel="0" collapsed="false">
      <c r="A8" s="12" t="s">
        <v>353</v>
      </c>
      <c r="B8" s="13" t="n">
        <f aca="false">COUNTIF(Raw_Data!$R$2:$R$101,"Low ESG")</f>
        <v>49</v>
      </c>
      <c r="C8" s="14" t="n">
        <f aca="false">AVERAGEIF(Raw_Data!$R$2:$R$101,"Low ESG",Raw_Data!$F$2:$F$101)</f>
        <v>56.3265306122449</v>
      </c>
      <c r="D8" s="15" t="n">
        <f aca="false">AVERAGEIF(Raw_Data!$R$2:$R$101,"Low ESG",Raw_Data!$L$2:$L$101)</f>
        <v>12.6326530612245</v>
      </c>
      <c r="E8" s="15" t="n">
        <f aca="false">AVERAGEIF(Raw_Data!$R$2:$R$101,"Low ESG",Raw_Data!$M$2:$M$101)</f>
        <v>9.38775510204082</v>
      </c>
      <c r="F8" s="15" t="n">
        <f aca="false">AVERAGEIF(Raw_Data!$R$2:$R$101,"Low ESG",Raw_Data!$N$2:$N$101)</f>
        <v>10.9387755102041</v>
      </c>
      <c r="G8" s="15" t="n">
        <f aca="false">AVERAGEIF(Raw_Data!$R$2:$R$101,"Low ESG",Raw_Data!$O$2:$O$101)</f>
        <v>13.3673469387755</v>
      </c>
    </row>
    <row r="10" customFormat="false" ht="15" hidden="false" customHeight="true" outlineLevel="0" collapsed="false">
      <c r="A10" s="3" t="s">
        <v>354</v>
      </c>
      <c r="B10" s="16" t="n">
        <f aca="false">F7-F8</f>
        <v>2.86514605842337</v>
      </c>
    </row>
    <row r="12" customFormat="false" ht="15" hidden="false" customHeight="true" outlineLevel="0" collapsed="false">
      <c r="A12" s="3" t="s">
        <v>355</v>
      </c>
      <c r="B12" s="17" t="str">
        <f aca="false">IF(F7&gt;F8,"High-ESG companies outperformed on average (5Y CAGR)","Low-ESG companies outperformed on average (5Y CAGR)")</f>
        <v>High-ESG companies outperformed on average (5Y CAGR)</v>
      </c>
      <c r="C12" s="17"/>
      <c r="D12" s="17"/>
      <c r="E12" s="17"/>
      <c r="F12" s="17"/>
      <c r="G12" s="17"/>
    </row>
    <row r="14" customFormat="false" ht="15" hidden="false" customHeight="true" outlineLevel="0" collapsed="false">
      <c r="A14" s="3" t="s">
        <v>356</v>
      </c>
      <c r="B14" s="17" t="str">
        <f aca="false">IF(AND(F7&gt;F8,D7&gt;D8,E7&gt;E8,G7&gt;G8),"Yes — High ESG leads on 1Y, 3Y, 5Y and 10Y","No — pattern is mixed across timeframes (see row 7-8 by column)")</f>
        <v>Yes — High ESG leads on 1Y, 3Y, 5Y and 10Y</v>
      </c>
      <c r="C14" s="17"/>
      <c r="D14" s="17"/>
      <c r="E14" s="17"/>
      <c r="F14" s="17"/>
      <c r="G14" s="17"/>
    </row>
  </sheetData>
  <mergeCells count="4">
    <mergeCell ref="A1:G1"/>
    <mergeCell ref="A2:G2"/>
    <mergeCell ref="B12:G12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1"/>
    <col collapsed="false" customWidth="true" hidden="false" outlineLevel="0" max="4" min="4" style="1" width="18"/>
    <col collapsed="false" customWidth="true" hidden="false" outlineLevel="0" max="6" min="5" style="1" width="22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6" t="s">
        <v>357</v>
      </c>
      <c r="B1" s="6"/>
      <c r="C1" s="6"/>
      <c r="D1" s="6"/>
      <c r="E1" s="6"/>
      <c r="F1" s="6"/>
      <c r="G1" s="6"/>
      <c r="H1" s="6"/>
    </row>
    <row r="3" customFormat="false" ht="23.25" hidden="false" customHeight="true" outlineLevel="0" collapsed="false">
      <c r="A3" s="2" t="s">
        <v>3</v>
      </c>
      <c r="B3" s="2" t="s">
        <v>358</v>
      </c>
      <c r="C3" s="2" t="s">
        <v>359</v>
      </c>
      <c r="D3" s="2" t="s">
        <v>360</v>
      </c>
      <c r="E3" s="2" t="s">
        <v>361</v>
      </c>
      <c r="F3" s="2" t="s">
        <v>362</v>
      </c>
      <c r="G3" s="2" t="s">
        <v>363</v>
      </c>
      <c r="H3" s="2" t="s">
        <v>364</v>
      </c>
    </row>
    <row r="4" customFormat="false" ht="15" hidden="false" customHeight="true" outlineLevel="0" collapsed="false">
      <c r="A4" s="4" t="s">
        <v>41</v>
      </c>
      <c r="B4" s="4" t="n">
        <f aca="false">COUNTIFS(Raw_Data!$D$2:$D$101,$A4,Raw_Data!$R$2:$R$101,"High ESG")</f>
        <v>5</v>
      </c>
      <c r="C4" s="4" t="n">
        <f aca="false">COUNTIFS(Raw_Data!$D$2:$D$101,$A4,Raw_Data!$R$2:$R$101,"Low ESG")</f>
        <v>4</v>
      </c>
      <c r="D4" s="18" t="n">
        <f aca="false">AVERAGEIF(Raw_Data!$D$2:$D$101,$A4,Raw_Data!$F$2:$F$101)</f>
        <v>63.2222222222222</v>
      </c>
      <c r="E4" s="19" t="n">
        <f aca="false">IFERROR(AVERAGEIFS(Raw_Data!$N$2:$N$101,Raw_Data!$D$2:$D$101,$A4,Raw_Data!$R$2:$R$101,"High ESG"),"n/a")</f>
        <v>16.4</v>
      </c>
      <c r="F4" s="19" t="n">
        <f aca="false">IFERROR(AVERAGEIFS(Raw_Data!$N$2:$N$101,Raw_Data!$D$2:$D$101,$A4,Raw_Data!$R$2:$R$101,"Low ESG"),"n/a")</f>
        <v>8.75</v>
      </c>
      <c r="G4" s="19" t="n">
        <f aca="false">IFERROR(E4-F4,"n/a")</f>
        <v>7.65</v>
      </c>
      <c r="H4" s="4" t="str">
        <f aca="false">IF(OR(B4=0,C4=0),"Insufficient data",IF(E4&gt;F4,"Yes",IF(E4&lt;F4,"No","Tie")))</f>
        <v>Yes</v>
      </c>
    </row>
    <row r="5" customFormat="false" ht="15" hidden="false" customHeight="true" outlineLevel="0" collapsed="false">
      <c r="A5" s="4" t="s">
        <v>89</v>
      </c>
      <c r="B5" s="4" t="n">
        <f aca="false">COUNTIFS(Raw_Data!$D$2:$D$101,$A5,Raw_Data!$R$2:$R$101,"High ESG")</f>
        <v>5</v>
      </c>
      <c r="C5" s="4" t="n">
        <f aca="false">COUNTIFS(Raw_Data!$D$2:$D$101,$A5,Raw_Data!$R$2:$R$101,"Low ESG")</f>
        <v>3</v>
      </c>
      <c r="D5" s="18" t="n">
        <f aca="false">AVERAGEIF(Raw_Data!$D$2:$D$101,$A5,Raw_Data!$F$2:$F$101)</f>
        <v>59.5</v>
      </c>
      <c r="E5" s="19" t="n">
        <f aca="false">IFERROR(AVERAGEIFS(Raw_Data!$N$2:$N$101,Raw_Data!$D$2:$D$101,$A5,Raw_Data!$R$2:$R$101,"High ESG"),"n/a")</f>
        <v>10.4</v>
      </c>
      <c r="F5" s="19" t="n">
        <f aca="false">IFERROR(AVERAGEIFS(Raw_Data!$N$2:$N$101,Raw_Data!$D$2:$D$101,$A5,Raw_Data!$R$2:$R$101,"Low ESG"),"n/a")</f>
        <v>-5.33333333333333</v>
      </c>
      <c r="G5" s="19" t="n">
        <f aca="false">IFERROR(E5-F5,"n/a")</f>
        <v>15.7333333333333</v>
      </c>
      <c r="H5" s="4" t="str">
        <f aca="false">IF(OR(B5=0,C5=0),"Insufficient data",IF(E5&gt;F5,"Yes",IF(E5&lt;F5,"No","Tie")))</f>
        <v>Yes</v>
      </c>
    </row>
    <row r="6" customFormat="false" ht="15" hidden="false" customHeight="true" outlineLevel="0" collapsed="false">
      <c r="A6" s="4" t="s">
        <v>121</v>
      </c>
      <c r="B6" s="4" t="n">
        <f aca="false">COUNTIFS(Raw_Data!$D$2:$D$101,$A6,Raw_Data!$R$2:$R$101,"High ESG")</f>
        <v>2</v>
      </c>
      <c r="C6" s="4" t="n">
        <f aca="false">COUNTIFS(Raw_Data!$D$2:$D$101,$A6,Raw_Data!$R$2:$R$101,"Low ESG")</f>
        <v>3</v>
      </c>
      <c r="D6" s="18" t="n">
        <f aca="false">AVERAGEIF(Raw_Data!$D$2:$D$101,$A6,Raw_Data!$F$2:$F$101)</f>
        <v>60.4</v>
      </c>
      <c r="E6" s="19" t="n">
        <f aca="false">IFERROR(AVERAGEIFS(Raw_Data!$N$2:$N$101,Raw_Data!$D$2:$D$101,$A6,Raw_Data!$R$2:$R$101,"High ESG"),"n/a")</f>
        <v>15.5</v>
      </c>
      <c r="F6" s="19" t="n">
        <f aca="false">IFERROR(AVERAGEIFS(Raw_Data!$N$2:$N$101,Raw_Data!$D$2:$D$101,$A6,Raw_Data!$R$2:$R$101,"Low ESG"),"n/a")</f>
        <v>10.6666666666667</v>
      </c>
      <c r="G6" s="19" t="n">
        <f aca="false">IFERROR(E6-F6,"n/a")</f>
        <v>4.83333333333333</v>
      </c>
      <c r="H6" s="4" t="str">
        <f aca="false">IF(OR(B6=0,C6=0),"Insufficient data",IF(E6&gt;F6,"Yes",IF(E6&lt;F6,"No","Tie")))</f>
        <v>Yes</v>
      </c>
    </row>
    <row r="7" customFormat="false" ht="15" hidden="false" customHeight="true" outlineLevel="0" collapsed="false">
      <c r="A7" s="4" t="s">
        <v>197</v>
      </c>
      <c r="B7" s="4" t="n">
        <f aca="false">COUNTIFS(Raw_Data!$D$2:$D$101,$A7,Raw_Data!$R$2:$R$101,"High ESG")</f>
        <v>0</v>
      </c>
      <c r="C7" s="4" t="n">
        <f aca="false">COUNTIFS(Raw_Data!$D$2:$D$101,$A7,Raw_Data!$R$2:$R$101,"Low ESG")</f>
        <v>1</v>
      </c>
      <c r="D7" s="18" t="n">
        <f aca="false">AVERAGEIF(Raw_Data!$D$2:$D$101,$A7,Raw_Data!$F$2:$F$101)</f>
        <v>62</v>
      </c>
      <c r="E7" s="19" t="str">
        <f aca="false">IFERROR(AVERAGEIFS(Raw_Data!$N$2:$N$101,Raw_Data!$D$2:$D$101,$A7,Raw_Data!$R$2:$R$101,"High ESG"),"n/a")</f>
        <v>n/a</v>
      </c>
      <c r="F7" s="19" t="n">
        <f aca="false">IFERROR(AVERAGEIFS(Raw_Data!$N$2:$N$101,Raw_Data!$D$2:$D$101,$A7,Raw_Data!$R$2:$R$101,"Low ESG"),"n/a")</f>
        <v>15</v>
      </c>
      <c r="G7" s="19" t="str">
        <f aca="false">IFERROR(E7-F7,"n/a")</f>
        <v>n/a</v>
      </c>
      <c r="H7" s="4" t="str">
        <f aca="false">IF(OR(B7=0,C7=0),"Insufficient data",IF(E7&gt;F7,"Yes",IF(E7&lt;F7,"No","Tie")))</f>
        <v>Insufficient data</v>
      </c>
    </row>
    <row r="8" customFormat="false" ht="15" hidden="false" customHeight="true" outlineLevel="0" collapsed="false">
      <c r="A8" s="4" t="s">
        <v>78</v>
      </c>
      <c r="B8" s="4" t="n">
        <f aca="false">COUNTIFS(Raw_Data!$D$2:$D$101,$A8,Raw_Data!$R$2:$R$101,"High ESG")</f>
        <v>1</v>
      </c>
      <c r="C8" s="4" t="n">
        <f aca="false">COUNTIFS(Raw_Data!$D$2:$D$101,$A8,Raw_Data!$R$2:$R$101,"Low ESG")</f>
        <v>1</v>
      </c>
      <c r="D8" s="18" t="n">
        <f aca="false">AVERAGEIF(Raw_Data!$D$2:$D$101,$A8,Raw_Data!$F$2:$F$101)</f>
        <v>60</v>
      </c>
      <c r="E8" s="19" t="n">
        <f aca="false">IFERROR(AVERAGEIFS(Raw_Data!$N$2:$N$101,Raw_Data!$D$2:$D$101,$A8,Raw_Data!$R$2:$R$101,"High ESG"),"n/a")</f>
        <v>15</v>
      </c>
      <c r="F8" s="19" t="n">
        <f aca="false">IFERROR(AVERAGEIFS(Raw_Data!$N$2:$N$101,Raw_Data!$D$2:$D$101,$A8,Raw_Data!$R$2:$R$101,"Low ESG"),"n/a")</f>
        <v>28</v>
      </c>
      <c r="G8" s="19" t="n">
        <f aca="false">IFERROR(E8-F8,"n/a")</f>
        <v>-13</v>
      </c>
      <c r="H8" s="4" t="str">
        <f aca="false">IF(OR(B8=0,C8=0),"Insufficient data",IF(E8&gt;F8,"Yes",IF(E8&lt;F8,"No","Tie")))</f>
        <v>No</v>
      </c>
    </row>
    <row r="9" customFormat="false" ht="15" hidden="false" customHeight="true" outlineLevel="0" collapsed="false">
      <c r="A9" s="4" t="s">
        <v>31</v>
      </c>
      <c r="B9" s="4" t="n">
        <f aca="false">COUNTIFS(Raw_Data!$D$2:$D$101,$A9,Raw_Data!$R$2:$R$101,"High ESG")</f>
        <v>14</v>
      </c>
      <c r="C9" s="4" t="n">
        <f aca="false">COUNTIFS(Raw_Data!$D$2:$D$101,$A9,Raw_Data!$R$2:$R$101,"Low ESG")</f>
        <v>9</v>
      </c>
      <c r="D9" s="18" t="n">
        <f aca="false">AVERAGEIF(Raw_Data!$D$2:$D$101,$A9,Raw_Data!$F$2:$F$101)</f>
        <v>63.8260869565217</v>
      </c>
      <c r="E9" s="19" t="n">
        <f aca="false">IFERROR(AVERAGEIFS(Raw_Data!$N$2:$N$101,Raw_Data!$D$2:$D$101,$A9,Raw_Data!$R$2:$R$101,"High ESG"),"n/a")</f>
        <v>12.2142857142857</v>
      </c>
      <c r="F9" s="19" t="n">
        <f aca="false">IFERROR(AVERAGEIFS(Raw_Data!$N$2:$N$101,Raw_Data!$D$2:$D$101,$A9,Raw_Data!$R$2:$R$101,"Low ESG"),"n/a")</f>
        <v>11.4444444444444</v>
      </c>
      <c r="G9" s="19" t="n">
        <f aca="false">IFERROR(E9-F9,"n/a")</f>
        <v>0.769841269841269</v>
      </c>
      <c r="H9" s="4" t="str">
        <f aca="false">IF(OR(B9=0,C9=0),"Insufficient data",IF(E9&gt;F9,"Yes",IF(E9&lt;F9,"No","Tie")))</f>
        <v>Yes</v>
      </c>
    </row>
    <row r="10" customFormat="false" ht="15" hidden="false" customHeight="true" outlineLevel="0" collapsed="false">
      <c r="A10" s="4" t="s">
        <v>207</v>
      </c>
      <c r="B10" s="4" t="n">
        <f aca="false">COUNTIFS(Raw_Data!$D$2:$D$101,$A10,Raw_Data!$R$2:$R$101,"High ESG")</f>
        <v>0</v>
      </c>
      <c r="C10" s="4" t="n">
        <f aca="false">COUNTIFS(Raw_Data!$D$2:$D$101,$A10,Raw_Data!$R$2:$R$101,"Low ESG")</f>
        <v>2</v>
      </c>
      <c r="D10" s="18" t="n">
        <f aca="false">AVERAGEIF(Raw_Data!$D$2:$D$101,$A10,Raw_Data!$F$2:$F$101)</f>
        <v>59.5</v>
      </c>
      <c r="E10" s="19" t="str">
        <f aca="false">IFERROR(AVERAGEIFS(Raw_Data!$N$2:$N$101,Raw_Data!$D$2:$D$101,$A10,Raw_Data!$R$2:$R$101,"High ESG"),"n/a")</f>
        <v>n/a</v>
      </c>
      <c r="F10" s="19" t="n">
        <f aca="false">IFERROR(AVERAGEIFS(Raw_Data!$N$2:$N$101,Raw_Data!$D$2:$D$101,$A10,Raw_Data!$R$2:$R$101,"Low ESG"),"n/a")</f>
        <v>15</v>
      </c>
      <c r="G10" s="19" t="str">
        <f aca="false">IFERROR(E10-F10,"n/a")</f>
        <v>n/a</v>
      </c>
      <c r="H10" s="4" t="str">
        <f aca="false">IF(OR(B10=0,C10=0),"Insufficient data",IF(E10&gt;F10,"Yes",IF(E10&lt;F10,"No","Tie")))</f>
        <v>Insufficient data</v>
      </c>
    </row>
    <row r="11" customFormat="false" ht="15" hidden="false" customHeight="true" outlineLevel="0" collapsed="false">
      <c r="A11" s="4" t="s">
        <v>93</v>
      </c>
      <c r="B11" s="4" t="n">
        <f aca="false">COUNTIFS(Raw_Data!$D$2:$D$101,$A11,Raw_Data!$R$2:$R$101,"High ESG")</f>
        <v>4</v>
      </c>
      <c r="C11" s="4" t="n">
        <f aca="false">COUNTIFS(Raw_Data!$D$2:$D$101,$A11,Raw_Data!$R$2:$R$101,"Low ESG")</f>
        <v>5</v>
      </c>
      <c r="D11" s="18" t="n">
        <f aca="false">AVERAGEIF(Raw_Data!$D$2:$D$101,$A11,Raw_Data!$F$2:$F$101)</f>
        <v>61.1111111111111</v>
      </c>
      <c r="E11" s="19" t="n">
        <f aca="false">IFERROR(AVERAGEIFS(Raw_Data!$N$2:$N$101,Raw_Data!$D$2:$D$101,$A11,Raw_Data!$R$2:$R$101,"High ESG"),"n/a")</f>
        <v>8.25</v>
      </c>
      <c r="F11" s="19" t="n">
        <f aca="false">IFERROR(AVERAGEIFS(Raw_Data!$N$2:$N$101,Raw_Data!$D$2:$D$101,$A11,Raw_Data!$R$2:$R$101,"Low ESG"),"n/a")</f>
        <v>10.4</v>
      </c>
      <c r="G11" s="19" t="n">
        <f aca="false">IFERROR(E11-F11,"n/a")</f>
        <v>-2.15</v>
      </c>
      <c r="H11" s="4" t="str">
        <f aca="false">IF(OR(B11=0,C11=0),"Insufficient data",IF(E11&gt;F11,"Yes",IF(E11&lt;F11,"No","Tie")))</f>
        <v>No</v>
      </c>
    </row>
    <row r="12" customFormat="false" ht="15" hidden="false" customHeight="true" outlineLevel="0" collapsed="false">
      <c r="A12" s="4" t="s">
        <v>27</v>
      </c>
      <c r="B12" s="4" t="n">
        <f aca="false">COUNTIFS(Raw_Data!$D$2:$D$101,$A12,Raw_Data!$R$2:$R$101,"High ESG")</f>
        <v>7</v>
      </c>
      <c r="C12" s="4" t="n">
        <f aca="false">COUNTIFS(Raw_Data!$D$2:$D$101,$A12,Raw_Data!$R$2:$R$101,"Low ESG")</f>
        <v>1</v>
      </c>
      <c r="D12" s="18" t="n">
        <f aca="false">AVERAGEIF(Raw_Data!$D$2:$D$101,$A12,Raw_Data!$F$2:$F$101)</f>
        <v>72</v>
      </c>
      <c r="E12" s="19" t="n">
        <f aca="false">IFERROR(AVERAGEIFS(Raw_Data!$N$2:$N$101,Raw_Data!$D$2:$D$101,$A12,Raw_Data!$R$2:$R$101,"High ESG"),"n/a")</f>
        <v>10.1428571428571</v>
      </c>
      <c r="F12" s="19" t="n">
        <f aca="false">IFERROR(AVERAGEIFS(Raw_Data!$N$2:$N$101,Raw_Data!$D$2:$D$101,$A12,Raw_Data!$R$2:$R$101,"Low ESG"),"n/a")</f>
        <v>19</v>
      </c>
      <c r="G12" s="19" t="n">
        <f aca="false">IFERROR(E12-F12,"n/a")</f>
        <v>-8.85714285714286</v>
      </c>
      <c r="H12" s="4" t="str">
        <f aca="false">IF(OR(B12=0,C12=0),"Insufficient data",IF(E12&gt;F12,"Yes",IF(E12&lt;F12,"No","Tie")))</f>
        <v>No</v>
      </c>
    </row>
    <row r="13" customFormat="false" ht="15" hidden="false" customHeight="true" outlineLevel="0" collapsed="false">
      <c r="A13" s="4" t="s">
        <v>71</v>
      </c>
      <c r="B13" s="4" t="n">
        <f aca="false">COUNTIFS(Raw_Data!$D$2:$D$101,$A13,Raw_Data!$R$2:$R$101,"High ESG")</f>
        <v>3</v>
      </c>
      <c r="C13" s="4" t="n">
        <f aca="false">COUNTIFS(Raw_Data!$D$2:$D$101,$A13,Raw_Data!$R$2:$R$101,"Low ESG")</f>
        <v>0</v>
      </c>
      <c r="D13" s="18" t="n">
        <f aca="false">AVERAGEIF(Raw_Data!$D$2:$D$101,$A13,Raw_Data!$F$2:$F$101)</f>
        <v>68.6666666666667</v>
      </c>
      <c r="E13" s="19" t="n">
        <f aca="false">IFERROR(AVERAGEIFS(Raw_Data!$N$2:$N$101,Raw_Data!$D$2:$D$101,$A13,Raw_Data!$R$2:$R$101,"High ESG"),"n/a")</f>
        <v>23.6666666666667</v>
      </c>
      <c r="F13" s="19" t="str">
        <f aca="false">IFERROR(AVERAGEIFS(Raw_Data!$N$2:$N$101,Raw_Data!$D$2:$D$101,$A13,Raw_Data!$R$2:$R$101,"Low ESG"),"n/a")</f>
        <v>n/a</v>
      </c>
      <c r="G13" s="19" t="str">
        <f aca="false">IFERROR(E13-F13,"n/a")</f>
        <v>n/a</v>
      </c>
      <c r="H13" s="4" t="str">
        <f aca="false">IF(OR(B13=0,C13=0),"Insufficient data",IF(E13&gt;F13,"Yes",IF(E13&lt;F13,"No","Tie")))</f>
        <v>Insufficient data</v>
      </c>
    </row>
    <row r="14" customFormat="false" ht="15" hidden="false" customHeight="true" outlineLevel="0" collapsed="false">
      <c r="A14" s="4" t="s">
        <v>55</v>
      </c>
      <c r="B14" s="4" t="n">
        <f aca="false">COUNTIFS(Raw_Data!$D$2:$D$101,$A14,Raw_Data!$R$2:$R$101,"High ESG")</f>
        <v>4</v>
      </c>
      <c r="C14" s="4" t="n">
        <f aca="false">COUNTIFS(Raw_Data!$D$2:$D$101,$A14,Raw_Data!$R$2:$R$101,"Low ESG")</f>
        <v>2</v>
      </c>
      <c r="D14" s="18" t="n">
        <f aca="false">AVERAGEIF(Raw_Data!$D$2:$D$101,$A14,Raw_Data!$F$2:$F$101)</f>
        <v>63.3333333333333</v>
      </c>
      <c r="E14" s="19" t="n">
        <f aca="false">IFERROR(AVERAGEIFS(Raw_Data!$N$2:$N$101,Raw_Data!$D$2:$D$101,$A14,Raw_Data!$R$2:$R$101,"High ESG"),"n/a")</f>
        <v>15.25</v>
      </c>
      <c r="F14" s="19" t="n">
        <f aca="false">IFERROR(AVERAGEIFS(Raw_Data!$N$2:$N$101,Raw_Data!$D$2:$D$101,$A14,Raw_Data!$R$2:$R$101,"Low ESG"),"n/a")</f>
        <v>11.5</v>
      </c>
      <c r="G14" s="19" t="n">
        <f aca="false">IFERROR(E14-F14,"n/a")</f>
        <v>3.75</v>
      </c>
      <c r="H14" s="4" t="str">
        <f aca="false">IF(OR(B14=0,C14=0),"Insufficient data",IF(E14&gt;F14,"Yes",IF(E14&lt;F14,"No","Tie")))</f>
        <v>Yes</v>
      </c>
    </row>
    <row r="15" customFormat="false" ht="15" hidden="false" customHeight="true" outlineLevel="0" collapsed="false">
      <c r="A15" s="4" t="s">
        <v>288</v>
      </c>
      <c r="B15" s="4" t="n">
        <f aca="false">COUNTIFS(Raw_Data!$D$2:$D$101,$A15,Raw_Data!$R$2:$R$101,"High ESG")</f>
        <v>0</v>
      </c>
      <c r="C15" s="4" t="n">
        <f aca="false">COUNTIFS(Raw_Data!$D$2:$D$101,$A15,Raw_Data!$R$2:$R$101,"Low ESG")</f>
        <v>2</v>
      </c>
      <c r="D15" s="18" t="n">
        <f aca="false">AVERAGEIF(Raw_Data!$D$2:$D$101,$A15,Raw_Data!$F$2:$F$101)</f>
        <v>55.5</v>
      </c>
      <c r="E15" s="19" t="str">
        <f aca="false">IFERROR(AVERAGEIFS(Raw_Data!$N$2:$N$101,Raw_Data!$D$2:$D$101,$A15,Raw_Data!$R$2:$R$101,"High ESG"),"n/a")</f>
        <v>n/a</v>
      </c>
      <c r="F15" s="19" t="n">
        <f aca="false">IFERROR(AVERAGEIFS(Raw_Data!$N$2:$N$101,Raw_Data!$D$2:$D$101,$A15,Raw_Data!$R$2:$R$101,"Low ESG"),"n/a")</f>
        <v>7</v>
      </c>
      <c r="G15" s="19" t="str">
        <f aca="false">IFERROR(E15-F15,"n/a")</f>
        <v>n/a</v>
      </c>
      <c r="H15" s="4" t="str">
        <f aca="false">IF(OR(B15=0,C15=0),"Insufficient data",IF(E15&gt;F15,"Yes",IF(E15&lt;F15,"No","Tie")))</f>
        <v>Insufficient data</v>
      </c>
    </row>
    <row r="16" customFormat="false" ht="15" hidden="false" customHeight="true" outlineLevel="0" collapsed="false">
      <c r="A16" s="4" t="s">
        <v>21</v>
      </c>
      <c r="B16" s="4" t="n">
        <f aca="false">COUNTIFS(Raw_Data!$D$2:$D$101,$A16,Raw_Data!$R$2:$R$101,"High ESG")</f>
        <v>4</v>
      </c>
      <c r="C16" s="4" t="n">
        <f aca="false">COUNTIFS(Raw_Data!$D$2:$D$101,$A16,Raw_Data!$R$2:$R$101,"Low ESG")</f>
        <v>11</v>
      </c>
      <c r="D16" s="18" t="n">
        <f aca="false">AVERAGEIF(Raw_Data!$D$2:$D$101,$A16,Raw_Data!$F$2:$F$101)</f>
        <v>59.5333333333333</v>
      </c>
      <c r="E16" s="19" t="n">
        <f aca="false">IFERROR(AVERAGEIFS(Raw_Data!$N$2:$N$101,Raw_Data!$D$2:$D$101,$A16,Raw_Data!$R$2:$R$101,"High ESG"),"n/a")</f>
        <v>6.75</v>
      </c>
      <c r="F16" s="19" t="n">
        <f aca="false">IFERROR(AVERAGEIFS(Raw_Data!$N$2:$N$101,Raw_Data!$D$2:$D$101,$A16,Raw_Data!$R$2:$R$101,"Low ESG"),"n/a")</f>
        <v>11</v>
      </c>
      <c r="G16" s="19" t="n">
        <f aca="false">IFERROR(E16-F16,"n/a")</f>
        <v>-4.25</v>
      </c>
      <c r="H16" s="4" t="str">
        <f aca="false">IF(OR(B16=0,C16=0),"Insufficient data",IF(E16&gt;F16,"Yes",IF(E16&lt;F16,"No","Tie")))</f>
        <v>No</v>
      </c>
    </row>
    <row r="17" customFormat="false" ht="15" hidden="false" customHeight="true" outlineLevel="0" collapsed="false">
      <c r="A17" s="4" t="s">
        <v>125</v>
      </c>
      <c r="B17" s="4" t="n">
        <f aca="false">COUNTIFS(Raw_Data!$D$2:$D$101,$A17,Raw_Data!$R$2:$R$101,"High ESG")</f>
        <v>1</v>
      </c>
      <c r="C17" s="4" t="n">
        <f aca="false">COUNTIFS(Raw_Data!$D$2:$D$101,$A17,Raw_Data!$R$2:$R$101,"Low ESG")</f>
        <v>1</v>
      </c>
      <c r="D17" s="18" t="n">
        <f aca="false">AVERAGEIF(Raw_Data!$D$2:$D$101,$A17,Raw_Data!$F$2:$F$101)</f>
        <v>63.5</v>
      </c>
      <c r="E17" s="19" t="n">
        <f aca="false">IFERROR(AVERAGEIFS(Raw_Data!$N$2:$N$101,Raw_Data!$D$2:$D$101,$A17,Raw_Data!$R$2:$R$101,"High ESG"),"n/a")</f>
        <v>65</v>
      </c>
      <c r="F17" s="19" t="n">
        <f aca="false">IFERROR(AVERAGEIFS(Raw_Data!$N$2:$N$101,Raw_Data!$D$2:$D$101,$A17,Raw_Data!$R$2:$R$101,"Low ESG"),"n/a")</f>
        <v>35</v>
      </c>
      <c r="G17" s="19" t="n">
        <f aca="false">IFERROR(E17-F17,"n/a")</f>
        <v>30</v>
      </c>
      <c r="H17" s="4" t="str">
        <f aca="false">IF(OR(B17=0,C17=0),"Insufficient data",IF(E17&gt;F17,"Yes",IF(E17&lt;F17,"No","Tie")))</f>
        <v>Yes</v>
      </c>
    </row>
    <row r="18" customFormat="false" ht="15" hidden="false" customHeight="true" outlineLevel="0" collapsed="false">
      <c r="A18" s="4" t="s">
        <v>211</v>
      </c>
      <c r="B18" s="4" t="n">
        <f aca="false">COUNTIFS(Raw_Data!$D$2:$D$101,$A18,Raw_Data!$R$2:$R$101,"High ESG")</f>
        <v>0</v>
      </c>
      <c r="C18" s="4" t="n">
        <f aca="false">COUNTIFS(Raw_Data!$D$2:$D$101,$A18,Raw_Data!$R$2:$R$101,"Low ESG")</f>
        <v>2</v>
      </c>
      <c r="D18" s="18" t="n">
        <f aca="false">AVERAGEIF(Raw_Data!$D$2:$D$101,$A18,Raw_Data!$F$2:$F$101)</f>
        <v>54.5</v>
      </c>
      <c r="E18" s="19" t="str">
        <f aca="false">IFERROR(AVERAGEIFS(Raw_Data!$N$2:$N$101,Raw_Data!$D$2:$D$101,$A18,Raw_Data!$R$2:$R$101,"High ESG"),"n/a")</f>
        <v>n/a</v>
      </c>
      <c r="F18" s="19" t="n">
        <f aca="false">IFERROR(AVERAGEIFS(Raw_Data!$N$2:$N$101,Raw_Data!$D$2:$D$101,$A18,Raw_Data!$R$2:$R$101,"Low ESG"),"n/a")</f>
        <v>17.5</v>
      </c>
      <c r="G18" s="19" t="str">
        <f aca="false">IFERROR(E18-F18,"n/a")</f>
        <v>n/a</v>
      </c>
      <c r="H18" s="4" t="str">
        <f aca="false">IF(OR(B18=0,C18=0),"Insufficient data",IF(E18&gt;F18,"Yes",IF(E18&lt;F18,"No","Tie")))</f>
        <v>Insufficient data</v>
      </c>
    </row>
    <row r="19" customFormat="false" ht="15" hidden="false" customHeight="true" outlineLevel="0" collapsed="false">
      <c r="A19" s="4" t="s">
        <v>147</v>
      </c>
      <c r="B19" s="4" t="n">
        <f aca="false">COUNTIFS(Raw_Data!$D$2:$D$101,$A19,Raw_Data!$R$2:$R$101,"High ESG")</f>
        <v>1</v>
      </c>
      <c r="C19" s="4" t="n">
        <f aca="false">COUNTIFS(Raw_Data!$D$2:$D$101,$A19,Raw_Data!$R$2:$R$101,"Low ESG")</f>
        <v>1</v>
      </c>
      <c r="D19" s="18" t="n">
        <f aca="false">AVERAGEIF(Raw_Data!$D$2:$D$101,$A19,Raw_Data!$F$2:$F$101)</f>
        <v>61.5</v>
      </c>
      <c r="E19" s="19" t="n">
        <f aca="false">IFERROR(AVERAGEIFS(Raw_Data!$N$2:$N$101,Raw_Data!$D$2:$D$101,$A19,Raw_Data!$R$2:$R$101,"High ESG"),"n/a")</f>
        <v>25</v>
      </c>
      <c r="F19" s="19" t="n">
        <f aca="false">IFERROR(AVERAGEIFS(Raw_Data!$N$2:$N$101,Raw_Data!$D$2:$D$101,$A19,Raw_Data!$R$2:$R$101,"Low ESG"),"n/a")</f>
        <v>-2</v>
      </c>
      <c r="G19" s="19" t="n">
        <f aca="false">IFERROR(E19-F19,"n/a")</f>
        <v>27</v>
      </c>
      <c r="H19" s="4" t="str">
        <f aca="false">IF(OR(B19=0,C19=0),"Insufficient data",IF(E19&gt;F19,"Yes",IF(E19&lt;F19,"No","Tie")))</f>
        <v>Yes</v>
      </c>
    </row>
    <row r="20" customFormat="false" ht="15" hidden="false" customHeight="true" outlineLevel="0" collapsed="false">
      <c r="A20" s="4" t="s">
        <v>307</v>
      </c>
      <c r="B20" s="4" t="n">
        <f aca="false">COUNTIFS(Raw_Data!$D$2:$D$101,$A20,Raw_Data!$R$2:$R$101,"High ESG")</f>
        <v>0</v>
      </c>
      <c r="C20" s="4" t="n">
        <f aca="false">COUNTIFS(Raw_Data!$D$2:$D$101,$A20,Raw_Data!$R$2:$R$101,"Low ESG")</f>
        <v>1</v>
      </c>
      <c r="D20" s="18" t="n">
        <f aca="false">AVERAGEIF(Raw_Data!$D$2:$D$101,$A20,Raw_Data!$F$2:$F$101)</f>
        <v>52</v>
      </c>
      <c r="E20" s="19" t="str">
        <f aca="false">IFERROR(AVERAGEIFS(Raw_Data!$N$2:$N$101,Raw_Data!$D$2:$D$101,$A20,Raw_Data!$R$2:$R$101,"High ESG"),"n/a")</f>
        <v>n/a</v>
      </c>
      <c r="F20" s="19" t="n">
        <f aca="false">IFERROR(AVERAGEIFS(Raw_Data!$N$2:$N$101,Raw_Data!$D$2:$D$101,$A20,Raw_Data!$R$2:$R$101,"Low ESG"),"n/a")</f>
        <v>12</v>
      </c>
      <c r="G20" s="19" t="str">
        <f aca="false">IFERROR(E20-F20,"n/a")</f>
        <v>n/a</v>
      </c>
      <c r="H20" s="4" t="str">
        <f aca="false">IF(OR(B20=0,C20=0),"Insufficient data",IF(E20&gt;F20,"Yes",IF(E20&lt;F20,"No","Tie")))</f>
        <v>Insufficient data</v>
      </c>
    </row>
    <row r="22" customFormat="false" ht="15" hidden="false" customHeight="true" outlineLevel="0" collapsed="false">
      <c r="A22" s="3" t="s">
        <v>365</v>
      </c>
      <c r="B22" s="1" t="n">
        <f aca="false">COUNTIF(H4:H20,"Yes")</f>
        <v>7</v>
      </c>
    </row>
    <row r="23" customFormat="false" ht="15" hidden="false" customHeight="true" outlineLevel="0" collapsed="false">
      <c r="A23" s="3" t="s">
        <v>366</v>
      </c>
      <c r="B23" s="1" t="n">
        <f aca="false">COUNTIF(H4:H20,"No")</f>
        <v>4</v>
      </c>
    </row>
    <row r="24" customFormat="false" ht="15" hidden="false" customHeight="true" outlineLevel="0" collapsed="false">
      <c r="A24" s="3" t="s">
        <v>367</v>
      </c>
      <c r="B24" s="1" t="n">
        <f aca="false">COUNTIF(H4:H20,"Insufficient data")</f>
        <v>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6" t="s">
        <v>368</v>
      </c>
      <c r="B1" s="6"/>
      <c r="C1" s="6"/>
      <c r="D1" s="6"/>
    </row>
    <row r="3" customFormat="false" ht="23.25" hidden="false" customHeight="true" outlineLevel="0" collapsed="false">
      <c r="A3" s="2" t="s">
        <v>369</v>
      </c>
      <c r="B3" s="2" t="s">
        <v>370</v>
      </c>
      <c r="C3" s="2" t="s">
        <v>371</v>
      </c>
    </row>
    <row r="4" customFormat="false" ht="15" hidden="false" customHeight="true" outlineLevel="0" collapsed="false">
      <c r="A4" s="4" t="s">
        <v>372</v>
      </c>
      <c r="B4" s="20" t="n">
        <f aca="false">CORREL(Raw_Data!$F$2:$F$101,Raw_Data!$L$2:$L$101)</f>
        <v>0.00582344307644688</v>
      </c>
      <c r="C4" s="21" t="str">
        <f aca="false">IF(ABS(B4)&lt;0.1,"Negligible",IF(ABS(B4)&lt;0.3,"Weak",IF(ABS(B4)&lt;0.5,"Moderate","Strong")))&amp;" "&amp;IF(B4&gt;=0,"positive","negative")&amp;" relationship"</f>
        <v>Negligible positive relationship</v>
      </c>
    </row>
    <row r="5" customFormat="false" ht="15" hidden="false" customHeight="true" outlineLevel="0" collapsed="false">
      <c r="A5" s="4" t="s">
        <v>373</v>
      </c>
      <c r="B5" s="20" t="n">
        <f aca="false">CORREL(Raw_Data!$F$2:$F$101,Raw_Data!$M$2:$M$101)</f>
        <v>0.153818039714603</v>
      </c>
      <c r="C5" s="21" t="str">
        <f aca="false">IF(ABS(B5)&lt;0.1,"Negligible",IF(ABS(B5)&lt;0.3,"Weak",IF(ABS(B5)&lt;0.5,"Moderate","Strong")))&amp;" "&amp;IF(B5&gt;=0,"positive","negative")&amp;" relationship"</f>
        <v>Weak positive relationship</v>
      </c>
    </row>
    <row r="6" customFormat="false" ht="15" hidden="false" customHeight="true" outlineLevel="0" collapsed="false">
      <c r="A6" s="4" t="s">
        <v>374</v>
      </c>
      <c r="B6" s="20" t="n">
        <f aca="false">CORREL(Raw_Data!$F$2:$F$101,Raw_Data!$N$2:$N$101)</f>
        <v>0.178986498363401</v>
      </c>
      <c r="C6" s="21" t="str">
        <f aca="false">IF(ABS(B6)&lt;0.1,"Negligible",IF(ABS(B6)&lt;0.3,"Weak",IF(ABS(B6)&lt;0.5,"Moderate","Strong")))&amp;" "&amp;IF(B6&gt;=0,"positive","negative")&amp;" relationship"</f>
        <v>Weak positive relationship</v>
      </c>
    </row>
    <row r="7" customFormat="false" ht="15" hidden="false" customHeight="true" outlineLevel="0" collapsed="false">
      <c r="A7" s="4" t="s">
        <v>375</v>
      </c>
      <c r="B7" s="20" t="n">
        <f aca="false">CORREL(Raw_Data!$F$2:$F$101,Raw_Data!$O$2:$O$101)</f>
        <v>0.13196386653423</v>
      </c>
      <c r="C7" s="21" t="str">
        <f aca="false">IF(ABS(B7)&lt;0.1,"Negligible",IF(ABS(B7)&lt;0.3,"Weak",IF(ABS(B7)&lt;0.5,"Moderate","Strong")))&amp;" "&amp;IF(B7&gt;=0,"positive","negative")&amp;" relationship"</f>
        <v>Weak positive relationship</v>
      </c>
    </row>
    <row r="9" customFormat="false" ht="15" hidden="false" customHeight="true" outlineLevel="0" collapsed="false">
      <c r="A9" s="3" t="s">
        <v>376</v>
      </c>
    </row>
    <row r="10" customFormat="false" ht="15" hidden="false" customHeight="true" outlineLevel="0" collapsed="false">
      <c r="A10" s="7" t="s">
        <v>377</v>
      </c>
      <c r="B10" s="7"/>
      <c r="C10" s="7"/>
      <c r="D10" s="7"/>
      <c r="E10" s="7"/>
      <c r="F10" s="7"/>
    </row>
    <row r="11" customFormat="false" ht="15" hidden="false" customHeight="true" outlineLevel="0" collapsed="false">
      <c r="A11" s="7" t="s">
        <v>378</v>
      </c>
      <c r="B11" s="7"/>
      <c r="C11" s="7"/>
      <c r="D11" s="7"/>
      <c r="E11" s="7"/>
      <c r="F11" s="7"/>
    </row>
  </sheetData>
  <mergeCells count="3">
    <mergeCell ref="A1:D1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2026-06-18T09:07:34Z</dcterms:created>
  <dc:creator>openpyxl</dc:creator>
  <dc:description/>
  <dc:language>en-US</dc:language>
  <cp:lastModifiedBy/>
  <dcterms:modified xsi:type="dcterms:W3CDTF">2026-06-19T06:48:37Z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